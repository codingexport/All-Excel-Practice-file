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khil\OneDrive\Desktop\ExcelerAllTopic\Excel\Excel All file\"/>
    </mc:Choice>
  </mc:AlternateContent>
  <xr:revisionPtr revIDLastSave="0" documentId="13_ncr:1_{0A2489C1-B3DB-46C2-8649-F4AE7ADDA78F}" xr6:coauthVersionLast="47" xr6:coauthVersionMax="47" xr10:uidLastSave="{00000000-0000-0000-0000-000000000000}"/>
  <bookViews>
    <workbookView xWindow="-108" yWindow="-108" windowWidth="23256" windowHeight="13176" firstSheet="8" activeTab="14" xr2:uid="{C3B164AB-809E-49E6-84E2-78B61C4137F8}"/>
  </bookViews>
  <sheets>
    <sheet name="Topics" sheetId="8" r:id="rId1"/>
    <sheet name="Text Function" sheetId="3" r:id="rId2"/>
    <sheet name="TTL" sheetId="4" r:id="rId3"/>
    <sheet name="CaseStudyOnFlashFill" sheetId="5" r:id="rId4"/>
    <sheet name="CaseStudyOnDateFunctions" sheetId="7" r:id="rId5"/>
    <sheet name="Sheet6" sheetId="15" r:id="rId6"/>
    <sheet name="CaseStudyOnTextFunction" sheetId="2" r:id="rId7"/>
    <sheet name="Sheet4" sheetId="13" r:id="rId8"/>
    <sheet name="Sheet5" sheetId="14" r:id="rId9"/>
    <sheet name="Date Function" sheetId="9" r:id="rId10"/>
    <sheet name="Sheet1" sheetId="11" r:id="rId11"/>
    <sheet name="Sheet2" sheetId="10" r:id="rId12"/>
    <sheet name="Sheet3" sheetId="12" r:id="rId13"/>
    <sheet name="Sheet7" sheetId="16" r:id="rId14"/>
    <sheet name="Date Function Practice" sheetId="17" r:id="rId15"/>
    <sheet name="Sheet9"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2" i="17" l="1"/>
  <c r="B61" i="17"/>
  <c r="B60" i="17"/>
  <c r="B50" i="17"/>
  <c r="B49" i="17"/>
  <c r="B48" i="17"/>
  <c r="C34" i="17"/>
  <c r="C35" i="17"/>
  <c r="C36" i="17"/>
  <c r="C37" i="17"/>
  <c r="C38" i="17"/>
  <c r="C39" i="17"/>
  <c r="C40" i="17"/>
  <c r="C33" i="17"/>
  <c r="G21" i="17"/>
  <c r="G22" i="17"/>
  <c r="G23" i="17"/>
  <c r="F21" i="17"/>
  <c r="F22" i="17"/>
  <c r="F23" i="17"/>
  <c r="E21" i="17"/>
  <c r="E22" i="17"/>
  <c r="E23" i="17"/>
  <c r="D21" i="17"/>
  <c r="D22" i="17"/>
  <c r="D23" i="17"/>
  <c r="F3" i="17"/>
  <c r="F4" i="17"/>
  <c r="F5" i="17"/>
  <c r="F6" i="17"/>
  <c r="F7" i="17"/>
  <c r="F8" i="17"/>
  <c r="F9" i="17"/>
  <c r="F2" i="17"/>
  <c r="B22" i="17"/>
  <c r="B23" i="17"/>
  <c r="B21" i="17"/>
  <c r="B14" i="17"/>
  <c r="C14" i="17" s="1"/>
  <c r="E3" i="17"/>
  <c r="E4" i="17"/>
  <c r="E5" i="17"/>
  <c r="E6" i="17"/>
  <c r="E7" i="17"/>
  <c r="E8" i="17"/>
  <c r="E9" i="17"/>
  <c r="E2" i="17"/>
  <c r="D3" i="17"/>
  <c r="D4" i="17"/>
  <c r="D5" i="17"/>
  <c r="D6" i="17"/>
  <c r="D7" i="17"/>
  <c r="D8" i="17"/>
  <c r="D9" i="17"/>
  <c r="D2" i="17"/>
  <c r="C3" i="17"/>
  <c r="C4" i="17"/>
  <c r="C5" i="17"/>
  <c r="C6" i="17"/>
  <c r="C7" i="17"/>
  <c r="C8" i="17"/>
  <c r="C9" i="17"/>
  <c r="C2" i="17"/>
  <c r="G3" i="16"/>
  <c r="G4" i="16"/>
  <c r="G5" i="16"/>
  <c r="G6" i="16"/>
  <c r="G7" i="16"/>
  <c r="G8" i="16"/>
  <c r="G9" i="16"/>
  <c r="G10" i="16"/>
  <c r="G11" i="16"/>
  <c r="G12" i="16"/>
  <c r="G13" i="16"/>
  <c r="G14" i="16"/>
  <c r="G15" i="16"/>
  <c r="G16" i="16"/>
  <c r="G17" i="16"/>
  <c r="G2" i="16"/>
  <c r="E3" i="16"/>
  <c r="E4" i="16"/>
  <c r="E5" i="16"/>
  <c r="E6" i="16"/>
  <c r="E7" i="16"/>
  <c r="E8" i="16"/>
  <c r="E9" i="16"/>
  <c r="E10" i="16"/>
  <c r="E11" i="16"/>
  <c r="E12" i="16"/>
  <c r="E13" i="16"/>
  <c r="E14" i="16"/>
  <c r="E15" i="16"/>
  <c r="E16" i="16"/>
  <c r="E17" i="16"/>
  <c r="E2" i="16"/>
  <c r="D3" i="16"/>
  <c r="D4" i="16"/>
  <c r="D5" i="16"/>
  <c r="D6" i="16"/>
  <c r="D7" i="16"/>
  <c r="D8" i="16"/>
  <c r="D9" i="16"/>
  <c r="D10" i="16"/>
  <c r="D11" i="16"/>
  <c r="D12" i="16"/>
  <c r="D13" i="16"/>
  <c r="D14" i="16"/>
  <c r="D15" i="16"/>
  <c r="D16" i="16"/>
  <c r="D17" i="16"/>
  <c r="D2" i="16"/>
  <c r="C3" i="16"/>
  <c r="C4" i="16"/>
  <c r="C5" i="16"/>
  <c r="C6" i="16"/>
  <c r="C7" i="16"/>
  <c r="C8" i="16"/>
  <c r="C9" i="16"/>
  <c r="C10" i="16"/>
  <c r="C11" i="16"/>
  <c r="C12" i="16"/>
  <c r="C13" i="16"/>
  <c r="C14" i="16"/>
  <c r="C15" i="16"/>
  <c r="C16" i="16"/>
  <c r="C17" i="16"/>
  <c r="C2" i="16"/>
  <c r="B3" i="16"/>
  <c r="B4" i="16"/>
  <c r="B5" i="16"/>
  <c r="B6" i="16"/>
  <c r="B7" i="16"/>
  <c r="B8" i="16"/>
  <c r="B9" i="16"/>
  <c r="B10" i="16"/>
  <c r="B11" i="16"/>
  <c r="B12" i="16"/>
  <c r="B13" i="16"/>
  <c r="B14" i="16"/>
  <c r="B15" i="16"/>
  <c r="B16" i="16"/>
  <c r="B17" i="16"/>
  <c r="B2" i="16"/>
  <c r="B14" i="9"/>
  <c r="D12" i="2"/>
  <c r="H12" i="2"/>
  <c r="J13" i="2"/>
  <c r="J14" i="2"/>
  <c r="J15" i="2"/>
  <c r="J12" i="2"/>
  <c r="K12" i="2"/>
  <c r="I12" i="2"/>
  <c r="H14" i="2"/>
  <c r="H13" i="2"/>
  <c r="G12" i="2"/>
  <c r="G13" i="2"/>
  <c r="G14" i="2"/>
  <c r="G15" i="2"/>
  <c r="F13" i="2"/>
  <c r="F14" i="2"/>
  <c r="F15" i="2"/>
  <c r="F12" i="2"/>
  <c r="D15" i="2"/>
  <c r="D14" i="2"/>
  <c r="D13" i="2"/>
  <c r="B13" i="2"/>
  <c r="B14" i="2"/>
  <c r="B15" i="2"/>
  <c r="B12" i="2"/>
  <c r="H7" i="15"/>
  <c r="H8" i="15"/>
  <c r="H9" i="15"/>
  <c r="H10" i="15"/>
  <c r="H11" i="15"/>
  <c r="H12" i="15"/>
  <c r="H13" i="15"/>
  <c r="H14" i="15"/>
  <c r="H15" i="15"/>
  <c r="H16" i="15"/>
  <c r="H17" i="15"/>
  <c r="H6" i="15"/>
  <c r="B2" i="15"/>
  <c r="B1" i="15"/>
  <c r="B11" i="3"/>
  <c r="B12" i="3"/>
  <c r="B20" i="3"/>
  <c r="B19" i="3"/>
  <c r="B18" i="3"/>
  <c r="B17" i="3"/>
  <c r="B5" i="3"/>
  <c r="B16" i="3" s="1"/>
  <c r="E16" i="3"/>
  <c r="D16" i="3"/>
  <c r="C16" i="3"/>
  <c r="B15" i="3"/>
  <c r="B9" i="3"/>
  <c r="B8" i="3"/>
  <c r="B7" i="3"/>
  <c r="B4" i="3"/>
  <c r="B3" i="3"/>
  <c r="J1" i="3"/>
  <c r="C10" i="13"/>
  <c r="C11" i="13"/>
  <c r="C12" i="13"/>
  <c r="C9" i="13"/>
  <c r="B10" i="13"/>
  <c r="B11" i="13"/>
  <c r="B12" i="13"/>
  <c r="B9" i="13"/>
  <c r="E3" i="13"/>
  <c r="E4" i="13"/>
  <c r="E5" i="13"/>
  <c r="E2" i="13"/>
  <c r="D3" i="13"/>
  <c r="D4" i="13"/>
  <c r="D5" i="13"/>
  <c r="D2" i="13"/>
  <c r="B47" i="12"/>
  <c r="B48" i="12"/>
  <c r="B49" i="12"/>
  <c r="B50" i="12"/>
  <c r="B46" i="12"/>
  <c r="C41" i="12"/>
  <c r="C42" i="12"/>
  <c r="C43" i="12"/>
  <c r="C44" i="12"/>
  <c r="C40" i="12"/>
  <c r="B41" i="12"/>
  <c r="B42" i="12"/>
  <c r="B43" i="12"/>
  <c r="B44" i="12"/>
  <c r="B40" i="12"/>
  <c r="B38" i="12"/>
  <c r="B37" i="12"/>
  <c r="B31" i="12"/>
  <c r="B30" i="12"/>
  <c r="B29" i="12"/>
  <c r="C22" i="12"/>
  <c r="C23" i="12"/>
  <c r="C24" i="12"/>
  <c r="C21" i="12"/>
  <c r="B24" i="12"/>
  <c r="B23" i="12"/>
  <c r="B22" i="12"/>
  <c r="B21" i="12"/>
  <c r="F15" i="12"/>
  <c r="D17" i="12"/>
  <c r="D16" i="12"/>
  <c r="D15" i="12"/>
  <c r="B15" i="12"/>
  <c r="G3" i="12"/>
  <c r="G4" i="12"/>
  <c r="G5" i="12"/>
  <c r="G6" i="12"/>
  <c r="G2" i="12"/>
  <c r="B2" i="12"/>
  <c r="B1" i="12"/>
  <c r="B4" i="12" s="1"/>
  <c r="G20" i="11"/>
  <c r="E20" i="11"/>
  <c r="C22" i="11"/>
  <c r="C21" i="11"/>
  <c r="C20" i="11"/>
  <c r="B20" i="11"/>
  <c r="D10" i="11"/>
  <c r="D11" i="11"/>
  <c r="D12" i="11"/>
  <c r="D13" i="11"/>
  <c r="D9" i="11"/>
  <c r="C1" i="11"/>
  <c r="A1" i="11"/>
  <c r="B4" i="11" s="1"/>
  <c r="C13" i="10"/>
  <c r="C11" i="10"/>
  <c r="C12" i="10"/>
  <c r="C10" i="10"/>
  <c r="B11" i="10"/>
  <c r="B12" i="10"/>
  <c r="B13" i="10"/>
  <c r="B10" i="10"/>
  <c r="E5" i="10"/>
  <c r="E3" i="10"/>
  <c r="E4" i="10"/>
  <c r="E2" i="10"/>
  <c r="D3" i="10"/>
  <c r="D4" i="10"/>
  <c r="D5" i="10"/>
  <c r="D2" i="10"/>
  <c r="C27" i="9"/>
  <c r="C26" i="9"/>
  <c r="C25" i="9"/>
  <c r="A24" i="9"/>
  <c r="B24" i="9" s="1"/>
  <c r="D21" i="9"/>
  <c r="D22" i="9"/>
  <c r="D20" i="9"/>
  <c r="C21" i="9"/>
  <c r="C22" i="9"/>
  <c r="C20" i="9"/>
  <c r="B21" i="9"/>
  <c r="B22" i="9"/>
  <c r="B20" i="9"/>
  <c r="D16" i="9"/>
  <c r="D15" i="9"/>
  <c r="D14" i="9"/>
  <c r="H3" i="9"/>
  <c r="H4" i="9"/>
  <c r="H5" i="9"/>
  <c r="H2" i="9"/>
  <c r="B2" i="9"/>
  <c r="B1" i="9"/>
  <c r="B4" i="9" s="1"/>
  <c r="E29" i="3"/>
  <c r="C62" i="17"/>
  <c r="C48" i="17"/>
  <c r="G7" i="17"/>
  <c r="G9" i="17"/>
  <c r="D17" i="17"/>
  <c r="F7" i="16"/>
  <c r="F8" i="16"/>
  <c r="F9" i="16"/>
  <c r="F10" i="16"/>
  <c r="J11" i="3"/>
  <c r="J9" i="3"/>
  <c r="J7" i="3"/>
  <c r="J4" i="3"/>
  <c r="E17" i="17"/>
  <c r="F12" i="16"/>
  <c r="F14" i="16"/>
  <c r="J18" i="3"/>
  <c r="J8" i="3"/>
  <c r="C1" i="15"/>
  <c r="C50" i="17"/>
  <c r="G8" i="17"/>
  <c r="C22" i="17"/>
  <c r="C17" i="17"/>
  <c r="F16" i="16"/>
  <c r="F2" i="16"/>
  <c r="J3" i="3"/>
  <c r="C60" i="17"/>
  <c r="G2" i="17"/>
  <c r="G4" i="17"/>
  <c r="C21" i="17"/>
  <c r="F11" i="16"/>
  <c r="F13" i="16"/>
  <c r="J12" i="3"/>
  <c r="G6" i="17"/>
  <c r="F15" i="16"/>
  <c r="F17" i="16"/>
  <c r="J20" i="3"/>
  <c r="J16" i="3"/>
  <c r="J5" i="3"/>
  <c r="C61" i="17"/>
  <c r="C49" i="17"/>
  <c r="G3" i="17"/>
  <c r="G5" i="17"/>
  <c r="C23" i="17"/>
  <c r="F3" i="16"/>
  <c r="F4" i="16"/>
  <c r="F5" i="16"/>
  <c r="F6" i="16"/>
  <c r="J19" i="3"/>
  <c r="J17" i="3"/>
  <c r="J15" i="3"/>
  <c r="C2" i="15"/>
  <c r="E16" i="17" l="1"/>
  <c r="D16" i="17"/>
  <c r="C16" i="17"/>
  <c r="D14" i="17"/>
  <c r="E14" i="17"/>
  <c r="B6" i="12"/>
  <c r="B5" i="12"/>
  <c r="B5" i="11"/>
  <c r="B3" i="11"/>
  <c r="C24" i="9"/>
  <c r="B27" i="9"/>
  <c r="B25" i="9"/>
  <c r="B26" i="9"/>
  <c r="B6" i="9"/>
  <c r="B5" i="9"/>
  <c r="I13" i="2"/>
  <c r="I14" i="2"/>
  <c r="I15" i="2"/>
  <c r="H15" i="2"/>
  <c r="B8" i="12" l="1"/>
  <c r="B7" i="9"/>
</calcChain>
</file>

<file path=xl/sharedStrings.xml><?xml version="1.0" encoding="utf-8"?>
<sst xmlns="http://schemas.openxmlformats.org/spreadsheetml/2006/main" count="480" uniqueCount="290">
  <si>
    <t>Case Study: Working with Text Functions in Excel</t>
  </si>
  <si>
    <t>Scenario:</t>
  </si>
  <si>
    <t>You are a data analyst for an e-commerce company. You have received a dataset containing customer information, including names, email addresses, and product feedback. Your task is to clean and format this data using various text functions in Excel.</t>
  </si>
  <si>
    <t>Objective:</t>
  </si>
  <si>
    <t>Learn how to use text functions such as UPPER, LOWER, PROPER, LEFT, RIGHT, SEARCH, FIND, and MID to manipulate and analyze text data.</t>
  </si>
  <si>
    <t>Customer Name</t>
  </si>
  <si>
    <t>Email Address</t>
  </si>
  <si>
    <t>Product Feedback</t>
  </si>
  <si>
    <t>john doe</t>
  </si>
  <si>
    <t>john.doe@example.com</t>
  </si>
  <si>
    <t>great product!</t>
  </si>
  <si>
    <t>MARY JANE</t>
  </si>
  <si>
    <t>mary.jane@example.com</t>
  </si>
  <si>
    <t>Arrived on time, very good.</t>
  </si>
  <si>
    <t>alice smith</t>
  </si>
  <si>
    <t>alice_smith@example.net</t>
  </si>
  <si>
    <t>will buy again!</t>
  </si>
  <si>
    <t>rOBERT bROWN</t>
  </si>
  <si>
    <t>robert_brown@example.org</t>
  </si>
  <si>
    <t>not satisfied with the item.</t>
  </si>
  <si>
    <r>
      <t>Convert Customer Names to Proper Case</t>
    </r>
    <r>
      <rPr>
        <sz val="11"/>
        <color theme="1"/>
        <rFont val="Calibri"/>
        <family val="2"/>
        <scheme val="minor"/>
      </rPr>
      <t>:</t>
    </r>
  </si>
  <si>
    <r>
      <t>Function</t>
    </r>
    <r>
      <rPr>
        <sz val="11"/>
        <color theme="1"/>
        <rFont val="Calibri"/>
        <family val="2"/>
        <scheme val="minor"/>
      </rPr>
      <t>: PROPER</t>
    </r>
  </si>
  <si>
    <r>
      <t>Objective</t>
    </r>
    <r>
      <rPr>
        <sz val="11"/>
        <color theme="1"/>
        <rFont val="Calibri"/>
        <family val="2"/>
        <scheme val="minor"/>
      </rPr>
      <t>: Convert the names to proper case where the first letter of each word is capitalized.</t>
    </r>
  </si>
  <si>
    <r>
      <t>Convert Email Addresses to Lowercase</t>
    </r>
    <r>
      <rPr>
        <sz val="11"/>
        <color theme="1"/>
        <rFont val="Calibri"/>
        <family val="2"/>
        <scheme val="minor"/>
      </rPr>
      <t>:</t>
    </r>
  </si>
  <si>
    <r>
      <t>Function</t>
    </r>
    <r>
      <rPr>
        <sz val="11"/>
        <color theme="1"/>
        <rFont val="Calibri"/>
        <family val="2"/>
        <scheme val="minor"/>
      </rPr>
      <t>: LOWER</t>
    </r>
  </si>
  <si>
    <r>
      <t>Objective</t>
    </r>
    <r>
      <rPr>
        <sz val="11"/>
        <color theme="1"/>
        <rFont val="Calibri"/>
        <family val="2"/>
        <scheme val="minor"/>
      </rPr>
      <t>: Ensure all email addresses are in lowercase.</t>
    </r>
  </si>
  <si>
    <r>
      <t>Convert Product Feedback to Uppercase</t>
    </r>
    <r>
      <rPr>
        <sz val="11"/>
        <color theme="1"/>
        <rFont val="Calibri"/>
        <family val="2"/>
        <scheme val="minor"/>
      </rPr>
      <t>:</t>
    </r>
  </si>
  <si>
    <r>
      <t>Function</t>
    </r>
    <r>
      <rPr>
        <sz val="11"/>
        <color theme="1"/>
        <rFont val="Calibri"/>
        <family val="2"/>
        <scheme val="minor"/>
      </rPr>
      <t>: UPPER</t>
    </r>
  </si>
  <si>
    <r>
      <t>Objective</t>
    </r>
    <r>
      <rPr>
        <sz val="11"/>
        <color theme="1"/>
        <rFont val="Calibri"/>
        <family val="2"/>
        <scheme val="minor"/>
      </rPr>
      <t>: Convert the feedback text to uppercase for emphasis</t>
    </r>
  </si>
  <si>
    <t>Text</t>
  </si>
  <si>
    <t>Upper</t>
  </si>
  <si>
    <t>Lower</t>
  </si>
  <si>
    <t>Proper</t>
  </si>
  <si>
    <t>Left</t>
  </si>
  <si>
    <t>Right</t>
  </si>
  <si>
    <t>Mid</t>
  </si>
  <si>
    <t>Find</t>
  </si>
  <si>
    <t>Search</t>
  </si>
  <si>
    <t>Len</t>
  </si>
  <si>
    <t>Concat</t>
  </si>
  <si>
    <t>Exact</t>
  </si>
  <si>
    <t>Trim</t>
  </si>
  <si>
    <t>Rept</t>
  </si>
  <si>
    <t>IsNumber</t>
  </si>
  <si>
    <t>Replace</t>
  </si>
  <si>
    <t>Diksha Panigrahi</t>
  </si>
  <si>
    <t>Rahul Pal</t>
  </si>
  <si>
    <t>Amit Singh</t>
  </si>
  <si>
    <t>Ashish Mishra</t>
  </si>
  <si>
    <t>Rajani Gupta</t>
  </si>
  <si>
    <t>Name</t>
  </si>
  <si>
    <t>Panigrahi</t>
  </si>
  <si>
    <t>Diksha</t>
  </si>
  <si>
    <t>Diksha#Panigrahi</t>
  </si>
  <si>
    <t>Diksha@Panigrahi</t>
  </si>
  <si>
    <t>Pal</t>
  </si>
  <si>
    <t>Rahul</t>
  </si>
  <si>
    <t>Rahul#Pal</t>
  </si>
  <si>
    <t>Rahul@Pal</t>
  </si>
  <si>
    <t>Singh</t>
  </si>
  <si>
    <t>Amit</t>
  </si>
  <si>
    <t>Amit#Singh</t>
  </si>
  <si>
    <t>Amit@Singh</t>
  </si>
  <si>
    <t>Mishra</t>
  </si>
  <si>
    <t>Ashish</t>
  </si>
  <si>
    <t>Ashish#Mishra</t>
  </si>
  <si>
    <t>Ashish@Mishra</t>
  </si>
  <si>
    <t>Gupta</t>
  </si>
  <si>
    <t>Rajani</t>
  </si>
  <si>
    <t>Rajani#Gupta</t>
  </si>
  <si>
    <t>Rajani@Gupta</t>
  </si>
  <si>
    <t>Separator is #</t>
  </si>
  <si>
    <t>Separator is @</t>
  </si>
  <si>
    <t>Separator is Space</t>
  </si>
  <si>
    <r>
      <t>Extract the First Name</t>
    </r>
    <r>
      <rPr>
        <sz val="11"/>
        <color theme="1"/>
        <rFont val="Calibri"/>
        <family val="2"/>
        <scheme val="minor"/>
      </rPr>
      <t>:</t>
    </r>
  </si>
  <si>
    <r>
      <t>Function</t>
    </r>
    <r>
      <rPr>
        <sz val="11"/>
        <color theme="1"/>
        <rFont val="Calibri"/>
        <family val="2"/>
        <scheme val="minor"/>
      </rPr>
      <t>: LEFT and FIND</t>
    </r>
  </si>
  <si>
    <r>
      <t>Objective</t>
    </r>
    <r>
      <rPr>
        <sz val="11"/>
        <color theme="1"/>
        <rFont val="Calibri"/>
        <family val="2"/>
        <scheme val="minor"/>
      </rPr>
      <t>: Extract the first name from the customer names</t>
    </r>
  </si>
  <si>
    <t>FirstName</t>
  </si>
  <si>
    <r>
      <t>Extract the Last Name</t>
    </r>
    <r>
      <rPr>
        <sz val="11"/>
        <color theme="1"/>
        <rFont val="Calibri"/>
        <family val="2"/>
        <scheme val="minor"/>
      </rPr>
      <t>:</t>
    </r>
  </si>
  <si>
    <r>
      <t>Function</t>
    </r>
    <r>
      <rPr>
        <sz val="11"/>
        <color theme="1"/>
        <rFont val="Calibri"/>
        <family val="2"/>
        <scheme val="minor"/>
      </rPr>
      <t>: RIGHT, LEN, and FIND</t>
    </r>
  </si>
  <si>
    <r>
      <t>Objective</t>
    </r>
    <r>
      <rPr>
        <sz val="11"/>
        <color theme="1"/>
        <rFont val="Calibri"/>
        <family val="2"/>
        <scheme val="minor"/>
      </rPr>
      <t>: Extract the last name from the customer names</t>
    </r>
  </si>
  <si>
    <t>lastName</t>
  </si>
  <si>
    <r>
      <t>Extract Domain from Email Address</t>
    </r>
    <r>
      <rPr>
        <sz val="11"/>
        <color theme="1"/>
        <rFont val="Calibri"/>
        <family val="2"/>
        <scheme val="minor"/>
      </rPr>
      <t>:</t>
    </r>
  </si>
  <si>
    <r>
      <t>Function</t>
    </r>
    <r>
      <rPr>
        <sz val="11"/>
        <color theme="1"/>
        <rFont val="Calibri"/>
        <family val="2"/>
        <scheme val="minor"/>
      </rPr>
      <t>: MID and FIND</t>
    </r>
  </si>
  <si>
    <r>
      <t>Objective</t>
    </r>
    <r>
      <rPr>
        <sz val="11"/>
        <color theme="1"/>
        <rFont val="Calibri"/>
        <family val="2"/>
        <scheme val="minor"/>
      </rPr>
      <t>: Extract the domain part of the email address.</t>
    </r>
  </si>
  <si>
    <t>Domain Name</t>
  </si>
  <si>
    <r>
      <t>Check for Specific Word in Feedback</t>
    </r>
    <r>
      <rPr>
        <sz val="11"/>
        <color theme="1"/>
        <rFont val="Calibri"/>
        <family val="2"/>
        <scheme val="minor"/>
      </rPr>
      <t>:</t>
    </r>
  </si>
  <si>
    <r>
      <t>Function</t>
    </r>
    <r>
      <rPr>
        <sz val="11"/>
        <color theme="1"/>
        <rFont val="Calibri"/>
        <family val="2"/>
        <scheme val="minor"/>
      </rPr>
      <t>: SEARCH</t>
    </r>
  </si>
  <si>
    <r>
      <t>Objective</t>
    </r>
    <r>
      <rPr>
        <sz val="11"/>
        <color theme="1"/>
        <rFont val="Calibri"/>
        <family val="2"/>
        <scheme val="minor"/>
      </rPr>
      <t>: Determine if the word "good" is present in the feedback and return its position</t>
    </r>
  </si>
  <si>
    <t>good ?</t>
  </si>
  <si>
    <r>
      <t>Extract a Specific Part of Feedback</t>
    </r>
    <r>
      <rPr>
        <sz val="11"/>
        <color theme="1"/>
        <rFont val="Calibri"/>
        <family val="2"/>
        <scheme val="minor"/>
      </rPr>
      <t>:</t>
    </r>
  </si>
  <si>
    <r>
      <t>Function</t>
    </r>
    <r>
      <rPr>
        <sz val="11"/>
        <color theme="1"/>
        <rFont val="Calibri"/>
        <family val="2"/>
        <scheme val="minor"/>
      </rPr>
      <t>: MID</t>
    </r>
  </si>
  <si>
    <r>
      <t>Objective</t>
    </r>
    <r>
      <rPr>
        <sz val="11"/>
        <color theme="1"/>
        <rFont val="Calibri"/>
        <family val="2"/>
        <scheme val="minor"/>
      </rPr>
      <t>: Extract the first 10 characters of the feedback for a summary.</t>
    </r>
  </si>
  <si>
    <t>Extract</t>
  </si>
  <si>
    <t>Case Study: Using Flash Fill in Excel</t>
  </si>
  <si>
    <t>You are working as a data analyst for a marketing firm. You have been given a dataset containing customer information, but it is not formatted correctly. Your task is to use Excel’s Flash Fill feature to quickly reformat the data and extract relevant information.</t>
  </si>
  <si>
    <t>Learn how to use the Flash Fill feature in Excel to automatically fill in values based on a pattern you provide.</t>
  </si>
  <si>
    <t>Dataset:</t>
  </si>
  <si>
    <t>Here is a sample dataset:</t>
  </si>
  <si>
    <t>Full Name</t>
  </si>
  <si>
    <t>John Doe</t>
  </si>
  <si>
    <t>johndoe@example.com</t>
  </si>
  <si>
    <t>Mary Jane Smith</t>
  </si>
  <si>
    <t>marysmith@example.com</t>
  </si>
  <si>
    <t>Alice Johnson</t>
  </si>
  <si>
    <t>alice.j@example.net</t>
  </si>
  <si>
    <t>Robert Brown</t>
  </si>
  <si>
    <t>rbrown@example.org</t>
  </si>
  <si>
    <t>Firstname</t>
  </si>
  <si>
    <t>Lastname</t>
  </si>
  <si>
    <t>User</t>
  </si>
  <si>
    <t>Domain</t>
  </si>
  <si>
    <t>Product Code</t>
  </si>
  <si>
    <t>First 4 Digit</t>
  </si>
  <si>
    <t>1001-AAA-101</t>
  </si>
  <si>
    <t>1002-BBB-102</t>
  </si>
  <si>
    <t>1003-CCC-103</t>
  </si>
  <si>
    <t>1004-DDD-104</t>
  </si>
  <si>
    <t>1005-EEE-105</t>
  </si>
  <si>
    <t>Last 3 Digit</t>
  </si>
  <si>
    <t>Middle 3 Digit</t>
  </si>
  <si>
    <t>Days</t>
  </si>
  <si>
    <t>Last 3 alphabet</t>
  </si>
  <si>
    <t>Monday</t>
  </si>
  <si>
    <t>Tuesday</t>
  </si>
  <si>
    <t>Wednesday</t>
  </si>
  <si>
    <t>Thursday</t>
  </si>
  <si>
    <t>Friday</t>
  </si>
  <si>
    <t>Day</t>
  </si>
  <si>
    <t>Year</t>
  </si>
  <si>
    <t>Scenario</t>
  </si>
  <si>
    <t>You are an event coordinator managing multiple events. You need to track event start dates, end dates, and deadlines for tasks related to these events. Using Excel's date functions, you will extract information and calculate important metrics.</t>
  </si>
  <si>
    <t>Data</t>
  </si>
  <si>
    <t>You have the following data related to event schedules:</t>
  </si>
  <si>
    <t>Event Name</t>
  </si>
  <si>
    <t>Start Date</t>
  </si>
  <si>
    <t>End Date</t>
  </si>
  <si>
    <t>Task Deadline</t>
  </si>
  <si>
    <t>Annual Meeting</t>
  </si>
  <si>
    <t>Product Launch</t>
  </si>
  <si>
    <t>Conference</t>
  </si>
  <si>
    <t>Workshop</t>
  </si>
  <si>
    <t>Training Session</t>
  </si>
  <si>
    <t>Tasks</t>
  </si>
  <si>
    <t>1. Extract Day, Month, and Year</t>
  </si>
  <si>
    <t>For each date in the dataset, extract the day, month, and year.</t>
  </si>
  <si>
    <r>
      <t>1. DAY Function</t>
    </r>
    <r>
      <rPr>
        <sz val="11"/>
        <color theme="1"/>
        <rFont val="Calibri"/>
        <family val="2"/>
        <scheme val="minor"/>
      </rPr>
      <t>: Extract the day from the Start Date.</t>
    </r>
  </si>
  <si>
    <r>
      <t xml:space="preserve">Formula: </t>
    </r>
    <r>
      <rPr>
        <sz val="10"/>
        <color theme="1"/>
        <rFont val="Arial Unicode MS"/>
      </rPr>
      <t>=DAY(B2)</t>
    </r>
  </si>
  <si>
    <r>
      <t>2. MONTH Function</t>
    </r>
    <r>
      <rPr>
        <sz val="11"/>
        <color theme="1"/>
        <rFont val="Calibri"/>
        <family val="2"/>
        <scheme val="minor"/>
      </rPr>
      <t>: Extract the month from the End Date.</t>
    </r>
  </si>
  <si>
    <r>
      <t xml:space="preserve">Formula: </t>
    </r>
    <r>
      <rPr>
        <sz val="10"/>
        <color theme="1"/>
        <rFont val="Arial Unicode MS"/>
      </rPr>
      <t>=MONTH(C2)</t>
    </r>
  </si>
  <si>
    <r>
      <t>3. YEAR Function</t>
    </r>
    <r>
      <rPr>
        <sz val="11"/>
        <color theme="1"/>
        <rFont val="Calibri"/>
        <family val="2"/>
        <scheme val="minor"/>
      </rPr>
      <t>: Extract the year from the Task Deadline.</t>
    </r>
  </si>
  <si>
    <r>
      <t xml:space="preserve">Formula: </t>
    </r>
    <r>
      <rPr>
        <sz val="10"/>
        <color theme="1"/>
        <rFont val="Arial Unicode MS"/>
      </rPr>
      <t>=YEAR(D2)</t>
    </r>
  </si>
  <si>
    <t>2. Create a Date</t>
  </si>
  <si>
    <t>Using the extracted day, month, and year, create a new date for each task deadline.</t>
  </si>
  <si>
    <r>
      <t>1. DATE Function</t>
    </r>
    <r>
      <rPr>
        <sz val="11"/>
        <color theme="1"/>
        <rFont val="Calibri"/>
        <family val="2"/>
        <scheme val="minor"/>
      </rPr>
      <t>: Combine the extracted day, month, and year to form a date.</t>
    </r>
  </si>
  <si>
    <r>
      <t xml:space="preserve">Formula: </t>
    </r>
    <r>
      <rPr>
        <sz val="10"/>
        <color theme="1"/>
        <rFont val="Arial Unicode MS"/>
      </rPr>
      <t>=DATE(YEAR(D2), MONTH(D2), DAY(D2))</t>
    </r>
  </si>
  <si>
    <t>3. Calculate the Fraction of the Year Between Dates</t>
  </si>
  <si>
    <t>Determine the fraction of the year between the Start Date and the End Date for each event.</t>
  </si>
  <si>
    <r>
      <t>1. YEARFRAC Function</t>
    </r>
    <r>
      <rPr>
        <sz val="11"/>
        <color theme="1"/>
        <rFont val="Calibri"/>
        <family val="2"/>
        <scheme val="minor"/>
      </rPr>
      <t>: Calculate the fraction of the year between the Start Date and the End Date.</t>
    </r>
  </si>
  <si>
    <r>
      <t xml:space="preserve">Formula: </t>
    </r>
    <r>
      <rPr>
        <sz val="10"/>
        <color theme="1"/>
        <rFont val="Arial Unicode MS"/>
      </rPr>
      <t>=YEARFRAC(B2, C2)</t>
    </r>
  </si>
  <si>
    <t>4. Calculate the Difference Between Dates</t>
  </si>
  <si>
    <t>Calculate the number of days, months, and years between the Start Date and the End Date for each event.</t>
  </si>
  <si>
    <r>
      <t>1. DATEDIF Function</t>
    </r>
    <r>
      <rPr>
        <sz val="11"/>
        <color theme="1"/>
        <rFont val="Calibri"/>
        <family val="2"/>
        <scheme val="minor"/>
      </rPr>
      <t>:</t>
    </r>
  </si>
  <si>
    <r>
      <t>Days</t>
    </r>
    <r>
      <rPr>
        <sz val="11"/>
        <color theme="1"/>
        <rFont val="Calibri"/>
        <family val="2"/>
        <scheme val="minor"/>
      </rPr>
      <t xml:space="preserve">: </t>
    </r>
    <r>
      <rPr>
        <sz val="10"/>
        <color theme="1"/>
        <rFont val="Arial Unicode MS"/>
      </rPr>
      <t>=DATEDIF(B2, C2, "d")</t>
    </r>
  </si>
  <si>
    <r>
      <t>Months</t>
    </r>
    <r>
      <rPr>
        <sz val="11"/>
        <color theme="1"/>
        <rFont val="Calibri"/>
        <family val="2"/>
        <scheme val="minor"/>
      </rPr>
      <t xml:space="preserve">: </t>
    </r>
    <r>
      <rPr>
        <sz val="10"/>
        <color theme="1"/>
        <rFont val="Arial Unicode MS"/>
      </rPr>
      <t>=DATEDIF(B2, C2, "m")</t>
    </r>
  </si>
  <si>
    <r>
      <t>Years</t>
    </r>
    <r>
      <rPr>
        <sz val="11"/>
        <color theme="1"/>
        <rFont val="Calibri"/>
        <family val="2"/>
        <scheme val="minor"/>
      </rPr>
      <t xml:space="preserve">: </t>
    </r>
    <r>
      <rPr>
        <sz val="10"/>
        <color theme="1"/>
        <rFont val="Arial Unicode MS"/>
      </rPr>
      <t>=DATEDIF(B2, C2, "y")</t>
    </r>
  </si>
  <si>
    <t>5. Find the End of the Month</t>
  </si>
  <si>
    <t>Determine the last day of the month for each Task Deadline.</t>
  </si>
  <si>
    <r>
      <t>1. EOMONTH Function</t>
    </r>
    <r>
      <rPr>
        <sz val="11"/>
        <color theme="1"/>
        <rFont val="Calibri"/>
        <family val="2"/>
        <scheme val="minor"/>
      </rPr>
      <t>: Find the last day of the month for the Task Deadline.</t>
    </r>
  </si>
  <si>
    <r>
      <t xml:space="preserve">Formula: </t>
    </r>
    <r>
      <rPr>
        <sz val="10"/>
        <color theme="1"/>
        <rFont val="Arial Unicode MS"/>
      </rPr>
      <t>=EOMONTH(D2, 0)</t>
    </r>
  </si>
  <si>
    <t>Case Study: Managing Event Schedules with Date Functions in Excel (Indian Date Format)</t>
  </si>
  <si>
    <t>Introduction</t>
  </si>
  <si>
    <t>This case study will help you understand and apply various date functions in Excel, including DAY, MONTH, YEAR, DATE, YEARFRAC, DATEDIF, and EOMONTH. You will work with event schedules and calculate various date-related metrics using the Indian date format (dd/mm/yyyy).</t>
  </si>
  <si>
    <t>Text Function</t>
  </si>
  <si>
    <t>Date Function</t>
  </si>
  <si>
    <t>month</t>
  </si>
  <si>
    <t>Date</t>
  </si>
  <si>
    <t>YearFrac</t>
  </si>
  <si>
    <t>Datediff</t>
  </si>
  <si>
    <t>EOMOnth</t>
  </si>
  <si>
    <t>Text To Column(TTL)</t>
  </si>
  <si>
    <t>FlashFill</t>
  </si>
  <si>
    <t>Excel tutoRiAL</t>
  </si>
  <si>
    <t>FN</t>
  </si>
  <si>
    <t>LN</t>
  </si>
  <si>
    <t xml:space="preserve">Rajani     </t>
  </si>
  <si>
    <t>CTRL + E</t>
  </si>
  <si>
    <t>JOHN</t>
  </si>
  <si>
    <t>MARY</t>
  </si>
  <si>
    <t>ALICE</t>
  </si>
  <si>
    <t>ROBERT</t>
  </si>
  <si>
    <t>Today</t>
  </si>
  <si>
    <t>now</t>
  </si>
  <si>
    <t>day</t>
  </si>
  <si>
    <t>year</t>
  </si>
  <si>
    <t>NOW</t>
  </si>
  <si>
    <t>Start</t>
  </si>
  <si>
    <t>end</t>
  </si>
  <si>
    <t>DateDif</t>
  </si>
  <si>
    <t>days</t>
  </si>
  <si>
    <t>EoMonth</t>
  </si>
  <si>
    <t>0(current)</t>
  </si>
  <si>
    <t>1(next)</t>
  </si>
  <si>
    <t>Space</t>
  </si>
  <si>
    <t>Month</t>
  </si>
  <si>
    <t>start</t>
  </si>
  <si>
    <t>today</t>
  </si>
  <si>
    <t>date</t>
  </si>
  <si>
    <t>datedif</t>
  </si>
  <si>
    <t>EOMonth</t>
  </si>
  <si>
    <t>last date of month</t>
  </si>
  <si>
    <t>holidays</t>
  </si>
  <si>
    <t>Gandhi jayanti</t>
  </si>
  <si>
    <t>Diwali</t>
  </si>
  <si>
    <t>without holiday</t>
  </si>
  <si>
    <t>with holiday</t>
  </si>
  <si>
    <t>no of days</t>
  </si>
  <si>
    <t>workday</t>
  </si>
  <si>
    <t>networkday</t>
  </si>
  <si>
    <t>Raj</t>
  </si>
  <si>
    <t>Ash</t>
  </si>
  <si>
    <t>Ami</t>
  </si>
  <si>
    <t>Rah</t>
  </si>
  <si>
    <t>ul Pal</t>
  </si>
  <si>
    <t>Dik</t>
  </si>
  <si>
    <t>johndoe</t>
  </si>
  <si>
    <t>marysmith</t>
  </si>
  <si>
    <t>alice.j</t>
  </si>
  <si>
    <t>rbrown</t>
  </si>
  <si>
    <t>example.com</t>
  </si>
  <si>
    <t>example.net</t>
  </si>
  <si>
    <t>example.org</t>
  </si>
  <si>
    <t>AAA</t>
  </si>
  <si>
    <t>BBB</t>
  </si>
  <si>
    <t>CCC</t>
  </si>
  <si>
    <t>DDD</t>
  </si>
  <si>
    <t>EEE</t>
  </si>
  <si>
    <t>proper</t>
  </si>
  <si>
    <t>J</t>
  </si>
  <si>
    <t>o</t>
  </si>
  <si>
    <t xml:space="preserve">h </t>
  </si>
  <si>
    <t>n</t>
  </si>
  <si>
    <t xml:space="preserve">  </t>
  </si>
  <si>
    <t>d</t>
  </si>
  <si>
    <t>e</t>
  </si>
  <si>
    <t>ani Gu</t>
  </si>
  <si>
    <t>pta</t>
  </si>
  <si>
    <t>ish Mi</t>
  </si>
  <si>
    <t>shra</t>
  </si>
  <si>
    <t>t Sing</t>
  </si>
  <si>
    <t>h</t>
  </si>
  <si>
    <t>sha Pa</t>
  </si>
  <si>
    <t>nigrahi</t>
  </si>
  <si>
    <t>Doe</t>
  </si>
  <si>
    <t>Johnson</t>
  </si>
  <si>
    <t>Brown</t>
  </si>
  <si>
    <t>Jane Smith</t>
  </si>
  <si>
    <t>Now</t>
  </si>
  <si>
    <t>Doj</t>
  </si>
  <si>
    <t>Day Name</t>
  </si>
  <si>
    <t>Text formula</t>
  </si>
  <si>
    <t>Month Name</t>
  </si>
  <si>
    <t>Order Date</t>
  </si>
  <si>
    <t>Delivery date</t>
  </si>
  <si>
    <t>DOB</t>
  </si>
  <si>
    <t>age in year</t>
  </si>
  <si>
    <t>age in month</t>
  </si>
  <si>
    <t>age in days</t>
  </si>
  <si>
    <t>Date of join</t>
  </si>
  <si>
    <t>Confirm Date</t>
  </si>
  <si>
    <t>Probation Month</t>
  </si>
  <si>
    <t>Column1</t>
  </si>
  <si>
    <t>END OF MONTH</t>
  </si>
  <si>
    <t>FORMULA TEXT</t>
  </si>
  <si>
    <t>Column2</t>
  </si>
  <si>
    <t>Column3</t>
  </si>
  <si>
    <t>Column4</t>
  </si>
  <si>
    <t>Note: 0 is indicate of current month</t>
  </si>
  <si>
    <t>Note: edate is add the month of given date that you want</t>
  </si>
  <si>
    <t>Workday</t>
  </si>
  <si>
    <t>Start of Excel</t>
  </si>
  <si>
    <t>No of Days</t>
  </si>
  <si>
    <t>Completion</t>
  </si>
  <si>
    <t>Holidays</t>
  </si>
  <si>
    <t xml:space="preserve">Completion </t>
  </si>
  <si>
    <t>NetworkDays</t>
  </si>
  <si>
    <t>End</t>
  </si>
  <si>
    <t>No of work days</t>
  </si>
  <si>
    <t>No of work days(with holiday)</t>
  </si>
  <si>
    <t>No of work days(only Friday 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</si>
</sst>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mmmm"/>
  </numFmts>
  <fonts count="13">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3.5"/>
      <color theme="1"/>
      <name val="Calibri"/>
      <family val="2"/>
      <scheme val="minor"/>
    </font>
    <font>
      <sz val="16"/>
      <color theme="1"/>
      <name val="Calibri"/>
      <family val="2"/>
      <scheme val="minor"/>
    </font>
    <font>
      <b/>
      <sz val="24"/>
      <color theme="1"/>
      <name val="Calibri"/>
      <family val="2"/>
      <scheme val="minor"/>
    </font>
    <font>
      <sz val="10"/>
      <color theme="1"/>
      <name val="Arial Unicode MS"/>
    </font>
    <font>
      <b/>
      <sz val="12"/>
      <color theme="1"/>
      <name val="Calibri"/>
      <family val="2"/>
      <scheme val="minor"/>
    </font>
    <font>
      <b/>
      <sz val="10"/>
      <color theme="1"/>
      <name val="Calibri"/>
      <family val="2"/>
      <scheme val="minor"/>
    </font>
    <font>
      <sz val="11"/>
      <color rgb="FFFF0000"/>
      <name val="Calibri"/>
      <family val="2"/>
      <scheme val="minor"/>
    </font>
    <font>
      <sz val="8"/>
      <name val="Calibri"/>
      <family val="2"/>
      <scheme val="minor"/>
    </font>
  </fonts>
  <fills count="12">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4"/>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79998168889431442"/>
        <bgColor indexed="64"/>
      </patternFill>
    </fill>
    <fill>
      <patternFill patternType="solid">
        <fgColor rgb="FFFFFF00"/>
        <bgColor indexed="64"/>
      </patternFill>
    </fill>
    <fill>
      <patternFill patternType="solid">
        <fgColor theme="5"/>
        <bgColor indexed="64"/>
      </patternFill>
    </fill>
    <fill>
      <patternFill patternType="solid">
        <fgColor them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theme="0"/>
      </bottom>
      <diagonal/>
    </border>
    <border>
      <left style="thin">
        <color indexed="64"/>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85">
    <xf numFmtId="0" fontId="0" fillId="0" borderId="0" xfId="0"/>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2" fillId="0" borderId="0" xfId="0" applyFont="1"/>
    <xf numFmtId="0" fontId="0" fillId="0" borderId="0" xfId="0" applyAlignment="1">
      <alignment horizontal="left" vertical="center" indent="1"/>
    </xf>
    <xf numFmtId="0" fontId="2" fillId="0" borderId="0" xfId="0" applyFont="1" applyAlignment="1">
      <alignment horizontal="left" vertical="center" indent="1"/>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3" fillId="4" borderId="0" xfId="0" applyFont="1" applyFill="1" applyAlignment="1">
      <alignment horizontal="center" vertical="center"/>
    </xf>
    <xf numFmtId="0" fontId="8" fillId="0" borderId="0" xfId="0" applyFont="1" applyAlignment="1">
      <alignment vertical="center"/>
    </xf>
    <xf numFmtId="0" fontId="0" fillId="0" borderId="1" xfId="0" applyBorder="1"/>
    <xf numFmtId="0" fontId="0" fillId="0" borderId="2" xfId="0" applyBorder="1"/>
    <xf numFmtId="0" fontId="0" fillId="0" borderId="3" xfId="0" applyBorder="1"/>
    <xf numFmtId="0" fontId="1" fillId="7" borderId="4" xfId="0" applyFont="1" applyFill="1" applyBorder="1"/>
    <xf numFmtId="0" fontId="1" fillId="7" borderId="5" xfId="0" applyFont="1" applyFill="1" applyBorder="1"/>
    <xf numFmtId="0" fontId="0" fillId="6" borderId="4" xfId="0" applyFill="1" applyBorder="1"/>
    <xf numFmtId="0" fontId="0" fillId="6" borderId="5" xfId="0" applyFill="1" applyBorder="1"/>
    <xf numFmtId="0" fontId="0" fillId="0" borderId="4" xfId="0" applyBorder="1"/>
    <xf numFmtId="0" fontId="0" fillId="0" borderId="5" xfId="0" applyBorder="1"/>
    <xf numFmtId="0" fontId="1" fillId="7" borderId="2" xfId="0" applyFont="1" applyFill="1" applyBorder="1"/>
    <xf numFmtId="0" fontId="1" fillId="7" borderId="3" xfId="0" applyFont="1" applyFill="1" applyBorder="1"/>
    <xf numFmtId="0" fontId="0" fillId="6" borderId="3" xfId="0" applyFill="1" applyBorder="1"/>
    <xf numFmtId="0" fontId="0" fillId="6" borderId="2" xfId="0" applyFill="1" applyBorder="1"/>
    <xf numFmtId="0" fontId="9" fillId="0" borderId="0" xfId="0" applyFont="1" applyAlignment="1">
      <alignment vertical="center"/>
    </xf>
    <xf numFmtId="0" fontId="2" fillId="0" borderId="0" xfId="0" applyFont="1" applyAlignment="1">
      <alignment horizontal="left" vertical="center" indent="2"/>
    </xf>
    <xf numFmtId="0" fontId="0" fillId="0" borderId="0" xfId="0" applyAlignment="1">
      <alignment horizontal="left" vertical="center" indent="2"/>
    </xf>
    <xf numFmtId="14" fontId="0" fillId="0" borderId="0" xfId="0" applyNumberFormat="1"/>
    <xf numFmtId="0" fontId="0" fillId="0" borderId="0" xfId="0" applyAlignment="1">
      <alignment horizontal="left" vertical="top" wrapText="1"/>
    </xf>
    <xf numFmtId="14" fontId="0" fillId="0" borderId="1" xfId="0" applyNumberFormat="1" applyBorder="1" applyAlignment="1">
      <alignment vertical="center" wrapText="1"/>
    </xf>
    <xf numFmtId="0" fontId="2" fillId="8" borderId="1" xfId="0" applyFont="1" applyFill="1" applyBorder="1" applyAlignment="1">
      <alignment horizontal="center" vertical="center" wrapText="1"/>
    </xf>
    <xf numFmtId="0" fontId="10" fillId="0" borderId="0" xfId="0" applyFont="1" applyAlignment="1">
      <alignment vertical="top" wrapText="1"/>
    </xf>
    <xf numFmtId="0" fontId="2" fillId="0" borderId="0" xfId="0" applyFont="1" applyAlignment="1">
      <alignment vertical="center" wrapText="1"/>
    </xf>
    <xf numFmtId="0" fontId="1" fillId="7" borderId="0" xfId="0" applyFont="1" applyFill="1"/>
    <xf numFmtId="0" fontId="0" fillId="2" borderId="0" xfId="0" applyFill="1"/>
    <xf numFmtId="0" fontId="0" fillId="9" borderId="0" xfId="0" applyFill="1"/>
    <xf numFmtId="22" fontId="0" fillId="0" borderId="0" xfId="0" applyNumberFormat="1"/>
    <xf numFmtId="14" fontId="0" fillId="9" borderId="0" xfId="0" applyNumberFormat="1" applyFill="1"/>
    <xf numFmtId="0" fontId="2" fillId="2" borderId="6"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1" xfId="0" applyFill="1" applyBorder="1"/>
    <xf numFmtId="14" fontId="0" fillId="0" borderId="1" xfId="0" applyNumberFormat="1" applyBorder="1"/>
    <xf numFmtId="164" fontId="0" fillId="0" borderId="0" xfId="0" applyNumberFormat="1"/>
    <xf numFmtId="0" fontId="0" fillId="0" borderId="1" xfId="0" applyBorder="1" applyAlignment="1">
      <alignment horizontal="center"/>
    </xf>
    <xf numFmtId="165" fontId="0" fillId="0" borderId="0" xfId="0" applyNumberFormat="1"/>
    <xf numFmtId="0" fontId="3" fillId="4" borderId="0" xfId="0" applyFont="1" applyFill="1"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0" fillId="10" borderId="1" xfId="0" applyFill="1" applyBorder="1"/>
    <xf numFmtId="14" fontId="0" fillId="10" borderId="1" xfId="0" applyNumberFormat="1" applyFill="1" applyBorder="1"/>
    <xf numFmtId="22" fontId="0" fillId="10" borderId="1" xfId="0" applyNumberFormat="1" applyFill="1" applyBorder="1"/>
    <xf numFmtId="14" fontId="0" fillId="0" borderId="1" xfId="0" applyNumberFormat="1" applyBorder="1" applyAlignment="1">
      <alignment horizontal="center"/>
    </xf>
    <xf numFmtId="0" fontId="1" fillId="10" borderId="1" xfId="0" applyFont="1" applyFill="1" applyBorder="1" applyAlignment="1">
      <alignment horizontal="center"/>
    </xf>
    <xf numFmtId="0" fontId="1" fillId="7" borderId="10" xfId="0" applyFont="1" applyFill="1" applyBorder="1"/>
    <xf numFmtId="0" fontId="6" fillId="9" borderId="1" xfId="0" applyFont="1" applyFill="1" applyBorder="1" applyAlignment="1">
      <alignment horizontal="center"/>
    </xf>
    <xf numFmtId="0" fontId="6" fillId="9" borderId="6" xfId="0" applyFont="1" applyFill="1" applyBorder="1" applyAlignment="1">
      <alignment horizontal="center"/>
    </xf>
    <xf numFmtId="0" fontId="11" fillId="9" borderId="0" xfId="0" applyFont="1" applyFill="1"/>
    <xf numFmtId="0" fontId="3" fillId="11" borderId="0" xfId="0" applyFont="1" applyFill="1"/>
    <xf numFmtId="0" fontId="3" fillId="11" borderId="1" xfId="0" applyFont="1" applyFill="1" applyBorder="1"/>
    <xf numFmtId="14" fontId="0" fillId="6" borderId="2" xfId="0" applyNumberFormat="1" applyFill="1" applyBorder="1"/>
    <xf numFmtId="14" fontId="0" fillId="0" borderId="2" xfId="0" applyNumberFormat="1" applyBorder="1"/>
    <xf numFmtId="14" fontId="0" fillId="6" borderId="10" xfId="0" applyNumberFormat="1" applyFill="1" applyBorder="1"/>
    <xf numFmtId="14" fontId="0" fillId="0" borderId="10" xfId="0" applyNumberFormat="1" applyBorder="1"/>
    <xf numFmtId="14" fontId="2" fillId="0" borderId="0" xfId="0" applyNumberFormat="1" applyFont="1"/>
    <xf numFmtId="0" fontId="0" fillId="0" borderId="11" xfId="0" applyBorder="1"/>
    <xf numFmtId="0" fontId="3" fillId="11" borderId="12" xfId="0" applyFont="1" applyFill="1" applyBorder="1"/>
    <xf numFmtId="0" fontId="3" fillId="10" borderId="11" xfId="0" applyFont="1" applyFill="1" applyBorder="1"/>
    <xf numFmtId="0" fontId="3" fillId="11" borderId="13" xfId="0" applyFont="1" applyFill="1" applyBorder="1"/>
    <xf numFmtId="0" fontId="2" fillId="0" borderId="11" xfId="0" applyFont="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7" fillId="2" borderId="0" xfId="0" applyFont="1" applyFill="1" applyAlignment="1">
      <alignment horizontal="center" vertical="center"/>
    </xf>
    <xf numFmtId="0" fontId="2"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10" fillId="0" borderId="0" xfId="0" applyFont="1" applyAlignment="1">
      <alignment horizontal="center" vertical="top" wrapText="1"/>
    </xf>
    <xf numFmtId="0" fontId="2" fillId="5" borderId="0" xfId="0" applyFont="1" applyFill="1" applyAlignment="1">
      <alignment horizontal="center"/>
    </xf>
  </cellXfs>
  <cellStyles count="1">
    <cellStyle name="Normal" xfId="0" builtinId="0"/>
  </cellStyles>
  <dxfs count="16">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ill>
        <patternFill patternType="solid">
          <fgColor indexed="64"/>
          <bgColor rgb="FFFFFF00"/>
        </patternFill>
      </fill>
    </dxf>
    <dxf>
      <numFmt numFmtId="0" formatCode="General"/>
    </dxf>
    <dxf>
      <numFmt numFmtId="0" formatCode="General"/>
    </dxf>
    <dxf>
      <numFmt numFmtId="19" formatCode="dd/mm/yyyy"/>
    </dxf>
    <dxf>
      <numFmt numFmtId="19" formatCode="dd/mm/yyyy"/>
    </dxf>
    <dxf>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064D6D-AF6C-4335-9399-878CE50A2E68}" name="Table1" displayName="Table1" ref="A21:D26" totalsRowShown="0">
  <autoFilter ref="A21:D26" xr:uid="{5E064D6D-AF6C-4335-9399-878CE50A2E68}"/>
  <tableColumns count="4">
    <tableColumn id="1" xr3:uid="{5EB42798-2B35-4719-8B56-464C7793EBD2}" name="Product Code"/>
    <tableColumn id="2" xr3:uid="{A56456F0-DE9F-4BFB-A35E-499B68191AB8}" name="First 4 Digit" dataDxfId="15"/>
    <tableColumn id="3" xr3:uid="{5269CDE3-B984-49F4-8B9E-B0DE983F26A7}" name="Last 3 Digit" dataDxfId="14"/>
    <tableColumn id="4" xr3:uid="{F7C2E1BF-83B5-4771-8DE3-9CAB330ECF15}" name="Middle 3 Digit"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29B428-A957-4771-BBFA-4C6CF2BF69FC}" name="Table2" displayName="Table2" ref="A1:G9" totalsRowShown="0">
  <tableColumns count="7">
    <tableColumn id="1" xr3:uid="{B71BDC56-F34A-4AB8-AE57-16F9CC9CF9E6}" name="Order Date" dataDxfId="12"/>
    <tableColumn id="2" xr3:uid="{02CD60BC-10DE-4B13-9280-E24211F1A01A}" name="Delivery date" dataDxfId="11"/>
    <tableColumn id="3" xr3:uid="{D05521CD-C99C-448F-BD41-3D38DBDA4396}" name="Day">
      <calculatedColumnFormula>DATEDIF(A2,B2,"d")</calculatedColumnFormula>
    </tableColumn>
    <tableColumn id="4" xr3:uid="{B6BA4CD7-BD30-497A-AC6A-F4AED2ABB12D}" name="month">
      <calculatedColumnFormula>DATEDIF(A2,B2,"m")</calculatedColumnFormula>
    </tableColumn>
    <tableColumn id="5" xr3:uid="{C6CCF48B-BC1C-4501-BDBF-A045BE9361A7}" name="Year">
      <calculatedColumnFormula>DATEDIF(A2,B2,"y")</calculatedColumnFormula>
    </tableColumn>
    <tableColumn id="6" xr3:uid="{961C7136-888A-4AA0-B4E8-20C72A0776E5}" name="END OF MONTH" dataDxfId="10">
      <calculatedColumnFormula>EOMONTH(Table2[[#This Row],[Order Date]],0)</calculatedColumnFormula>
    </tableColumn>
    <tableColumn id="7" xr3:uid="{8E554E13-0DA7-42F0-A3F9-732380345382}" name="FORMULA TEXT" dataDxfId="9">
      <calculatedColumnFormula>_xlfn.FORMULATEXT(Table2[[#This Row],[END OF MONTH]])</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1C8EA2-CD4C-4017-A61E-2BFDEB22928A}" name="Table3" displayName="Table3" ref="A13:E17" totalsRowShown="0" headerRowDxfId="8">
  <tableColumns count="5">
    <tableColumn id="1" xr3:uid="{9680591F-4799-4EE0-B89D-792E8A5C3BDA}" name="DOB"/>
    <tableColumn id="2" xr3:uid="{CE39B122-0A1F-4448-A2E4-62378C0B2A34}" name="today"/>
    <tableColumn id="3" xr3:uid="{706004BC-7F30-43F7-8040-517DE0E48715}" name="age in year"/>
    <tableColumn id="4" xr3:uid="{6C888E38-F396-4D11-9E8D-9D803DB8BA01}" name="age in month"/>
    <tableColumn id="5" xr3:uid="{9C1CAE80-7711-4C2A-8BC7-631162B7EC5B}" name="age in days"/>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D02713-5CE5-40D0-8A33-BF35B1EEB1EA}" name="Table4" displayName="Table4" ref="A20:G23" totalsRowShown="0">
  <tableColumns count="7">
    <tableColumn id="1" xr3:uid="{DAF94669-102F-4DFB-A3AC-323C1ED0B50C}" name="Date of join" dataDxfId="7"/>
    <tableColumn id="2" xr3:uid="{36E7CCCC-39FB-4EE1-BE64-8396F495CDF6}" name="Confirm Date" dataDxfId="6">
      <calculatedColumnFormula>EDATE(A21,6)</calculatedColumnFormula>
    </tableColumn>
    <tableColumn id="3" xr3:uid="{336430F9-8037-415D-AF87-A083CA10D6AB}" name="Column1" dataDxfId="5">
      <calculatedColumnFormula>_xlfn.FORMULATEXT(Table4[[#This Row],[Confirm Date]])</calculatedColumnFormula>
    </tableColumn>
    <tableColumn id="4" xr3:uid="{72B988CF-870C-444A-A092-5B030EDE9192}" name="END OF MONTH" dataDxfId="4">
      <calculatedColumnFormula>EOMONTH(Table4[[#This Row],[Date of join]],0)</calculatedColumnFormula>
    </tableColumn>
    <tableColumn id="5" xr3:uid="{0558BF0A-B432-4DFF-84EB-D0B9A81AD1F8}" name="Column2" dataDxfId="3">
      <calculatedColumnFormula>EOMONTH(Table4[[#This Row],[Date of join]],1)</calculatedColumnFormula>
    </tableColumn>
    <tableColumn id="6" xr3:uid="{DDAB1708-D501-4AB6-A70A-7BF53114A5A2}" name="Column3" dataDxfId="2">
      <calculatedColumnFormula>EOMONTH(Table4[[#This Row],[Date of join]],-1)</calculatedColumnFormula>
    </tableColumn>
    <tableColumn id="7" xr3:uid="{6124297B-08D5-428D-8908-084A0098FEB8}" name="Column4" dataDxfId="1">
      <calculatedColumnFormula>EOMONTH(Table4[[#This Row],[Date of join]],2)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E2A768-84A7-4A4A-A558-735099B69757}" name="Table6" displayName="Table6" ref="C32:C40" totalsRowShown="0">
  <tableColumns count="1">
    <tableColumn id="1" xr3:uid="{3B1C76A0-F380-44B4-86F0-231DB8BF39E4}" name="Column1" dataDxfId="0">
      <calculatedColumnFormula>YEARFRAC(A33,B33)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C6EACB-2EAA-4690-B803-620EEFC56BA2}" name="Table5" displayName="Table5" ref="A54:C63" totalsRowShown="0">
  <tableColumns count="3">
    <tableColumn id="1" xr3:uid="{DF91243E-081E-49BC-A0C4-1EDFF8852881}" name="Column1"/>
    <tableColumn id="2" xr3:uid="{150AE29E-6A62-477C-AEBF-68378966372D}" name="Column2"/>
    <tableColumn id="3" xr3:uid="{A4C00E39-A7CE-4025-A461-18A25A740285}" name="Column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885A-457D-4E27-9A1D-E36D54A5A888}">
  <dimension ref="A1:D16"/>
  <sheetViews>
    <sheetView zoomScale="145" zoomScaleNormal="145" workbookViewId="0">
      <selection activeCell="A8" sqref="A8"/>
    </sheetView>
  </sheetViews>
  <sheetFormatPr defaultRowHeight="14.4"/>
  <cols>
    <col min="1" max="1" width="24.77734375" customWidth="1"/>
    <col min="2" max="2" width="26.33203125" customWidth="1"/>
    <col min="3" max="3" width="18" bestFit="1" customWidth="1"/>
    <col min="4" max="4" width="7.44140625" bestFit="1" customWidth="1"/>
  </cols>
  <sheetData>
    <row r="1" spans="1:4">
      <c r="A1" s="39" t="s">
        <v>173</v>
      </c>
      <c r="B1" s="39" t="s">
        <v>174</v>
      </c>
      <c r="C1" s="39" t="s">
        <v>180</v>
      </c>
      <c r="D1" s="39" t="s">
        <v>181</v>
      </c>
    </row>
    <row r="2" spans="1:4">
      <c r="A2" t="s">
        <v>30</v>
      </c>
      <c r="B2" t="s">
        <v>174</v>
      </c>
    </row>
    <row r="3" spans="1:4">
      <c r="A3" t="s">
        <v>31</v>
      </c>
      <c r="B3" t="s">
        <v>128</v>
      </c>
    </row>
    <row r="4" spans="1:4">
      <c r="A4" t="s">
        <v>32</v>
      </c>
      <c r="B4" t="s">
        <v>175</v>
      </c>
    </row>
    <row r="5" spans="1:4">
      <c r="A5" t="s">
        <v>33</v>
      </c>
      <c r="B5" t="s">
        <v>129</v>
      </c>
    </row>
    <row r="6" spans="1:4">
      <c r="A6" t="s">
        <v>34</v>
      </c>
      <c r="B6" t="s">
        <v>176</v>
      </c>
    </row>
    <row r="7" spans="1:4">
      <c r="A7" t="s">
        <v>35</v>
      </c>
      <c r="B7" t="s">
        <v>177</v>
      </c>
    </row>
    <row r="8" spans="1:4">
      <c r="A8" t="s">
        <v>36</v>
      </c>
      <c r="B8" t="s">
        <v>178</v>
      </c>
    </row>
    <row r="9" spans="1:4">
      <c r="A9" t="s">
        <v>37</v>
      </c>
      <c r="B9" t="s">
        <v>179</v>
      </c>
    </row>
    <row r="10" spans="1:4">
      <c r="A10" t="s">
        <v>38</v>
      </c>
      <c r="B10" t="s">
        <v>191</v>
      </c>
    </row>
    <row r="11" spans="1:4">
      <c r="A11" t="s">
        <v>39</v>
      </c>
      <c r="B11" t="s">
        <v>195</v>
      </c>
    </row>
    <row r="12" spans="1:4">
      <c r="A12" t="s">
        <v>40</v>
      </c>
      <c r="B12" t="s">
        <v>217</v>
      </c>
    </row>
    <row r="13" spans="1:4">
      <c r="A13" t="s">
        <v>41</v>
      </c>
      <c r="B13" t="s">
        <v>218</v>
      </c>
    </row>
    <row r="14" spans="1:4">
      <c r="A14" t="s">
        <v>42</v>
      </c>
    </row>
    <row r="15" spans="1:4">
      <c r="A15" t="s">
        <v>43</v>
      </c>
    </row>
    <row r="16" spans="1:4">
      <c r="A16"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0E45-7440-4AA1-933C-1F16EBD42FBB}">
  <dimension ref="A1:J29"/>
  <sheetViews>
    <sheetView zoomScaleNormal="100" workbookViewId="0">
      <pane ySplit="1" topLeftCell="A2" activePane="bottomLeft" state="frozen"/>
      <selection pane="bottomLeft" activeCell="B17" sqref="B17:I17"/>
    </sheetView>
  </sheetViews>
  <sheetFormatPr defaultRowHeight="14.4"/>
  <cols>
    <col min="1" max="1" width="18.77734375" customWidth="1"/>
    <col min="2" max="2" width="22.44140625" bestFit="1" customWidth="1"/>
    <col min="7" max="7" width="12.33203125" customWidth="1"/>
    <col min="10" max="10" width="46.6640625" customWidth="1"/>
    <col min="11" max="11" width="15.44140625" customWidth="1"/>
  </cols>
  <sheetData>
    <row r="1" spans="1:10" ht="31.2">
      <c r="A1" s="9" t="s">
        <v>29</v>
      </c>
      <c r="B1" s="79" t="s">
        <v>182</v>
      </c>
      <c r="C1" s="79"/>
      <c r="D1" s="79"/>
      <c r="E1" s="79"/>
      <c r="F1" s="79"/>
      <c r="G1" s="79"/>
      <c r="H1" s="79"/>
      <c r="I1" s="79"/>
      <c r="J1">
        <f>LEN(B1)</f>
        <v>14</v>
      </c>
    </row>
    <row r="3" spans="1:10">
      <c r="A3" s="10" t="s">
        <v>30</v>
      </c>
      <c r="B3" s="77" t="str">
        <f>UPPER(B1)</f>
        <v>EXCEL TUTORIAL</v>
      </c>
      <c r="C3" s="77"/>
      <c r="D3" s="77"/>
      <c r="E3" s="77"/>
      <c r="F3" s="77"/>
      <c r="G3" s="77"/>
      <c r="H3" s="77"/>
      <c r="I3" s="77"/>
      <c r="J3" t="str">
        <f ca="1">_xlfn.FORMULATEXT(B3)</f>
        <v>=UPPER(B1)</v>
      </c>
    </row>
    <row r="4" spans="1:10">
      <c r="A4" s="10" t="s">
        <v>31</v>
      </c>
      <c r="B4" s="77" t="str">
        <f>LOWER(B1)</f>
        <v>excel tutorial</v>
      </c>
      <c r="C4" s="77"/>
      <c r="D4" s="77"/>
      <c r="E4" s="77"/>
      <c r="F4" s="77"/>
      <c r="G4" s="77"/>
      <c r="H4" s="77"/>
      <c r="I4" s="77"/>
      <c r="J4" t="str">
        <f t="shared" ref="J4:J5" ca="1" si="0">_xlfn.FORMULATEXT(B4)</f>
        <v>=LOWER(B1)</v>
      </c>
    </row>
    <row r="5" spans="1:10">
      <c r="A5" s="10" t="s">
        <v>32</v>
      </c>
      <c r="B5" s="77" t="str">
        <f>PROPER(B1)</f>
        <v>Excel Tutorial</v>
      </c>
      <c r="C5" s="77"/>
      <c r="D5" s="77"/>
      <c r="E5" s="77"/>
      <c r="F5" s="77"/>
      <c r="G5" s="77"/>
      <c r="H5" s="77"/>
      <c r="I5" s="77"/>
      <c r="J5" t="str">
        <f t="shared" ca="1" si="0"/>
        <v>=PROPER(B1)</v>
      </c>
    </row>
    <row r="6" spans="1:10">
      <c r="A6" s="11"/>
    </row>
    <row r="7" spans="1:10">
      <c r="A7" s="10" t="s">
        <v>33</v>
      </c>
      <c r="B7" s="77" t="str">
        <f>LEFT(B1,5)</f>
        <v>Excel</v>
      </c>
      <c r="C7" s="77"/>
      <c r="D7" s="77"/>
      <c r="E7" s="77"/>
      <c r="F7" s="77"/>
      <c r="G7" s="77"/>
      <c r="H7" s="77"/>
      <c r="I7" s="77"/>
      <c r="J7" t="str">
        <f ca="1">_xlfn.FORMULATEXT(B7)</f>
        <v>=LEFT(B1,5)</v>
      </c>
    </row>
    <row r="8" spans="1:10">
      <c r="A8" s="10" t="s">
        <v>34</v>
      </c>
      <c r="B8" s="77" t="str">
        <f>RIGHT(B1,8)</f>
        <v>tutoRiAL</v>
      </c>
      <c r="C8" s="77"/>
      <c r="D8" s="77"/>
      <c r="E8" s="77"/>
      <c r="F8" s="77"/>
      <c r="G8" s="77"/>
      <c r="H8" s="77"/>
      <c r="I8" s="77"/>
      <c r="J8" t="str">
        <f ca="1">_xlfn.FORMULATEXT(B8)</f>
        <v>=RIGHT(B1,8)</v>
      </c>
    </row>
    <row r="9" spans="1:10">
      <c r="A9" s="10" t="s">
        <v>35</v>
      </c>
      <c r="B9" s="77" t="str">
        <f>MID(B1,7,5)</f>
        <v>tutoR</v>
      </c>
      <c r="C9" s="77"/>
      <c r="D9" s="77"/>
      <c r="E9" s="77"/>
      <c r="F9" s="77"/>
      <c r="G9" s="77"/>
      <c r="H9" s="77"/>
      <c r="I9" s="77"/>
      <c r="J9" t="str">
        <f ca="1">_xlfn.FORMULATEXT(B9)</f>
        <v>=MID(B1,7,5)</v>
      </c>
    </row>
    <row r="10" spans="1:10">
      <c r="A10" s="11"/>
    </row>
    <row r="11" spans="1:10">
      <c r="A11" s="10" t="s">
        <v>36</v>
      </c>
      <c r="B11" s="77" t="str">
        <f>IFERROR(FIND("Excel",B4),"Match Not found")</f>
        <v>Match Not found</v>
      </c>
      <c r="C11" s="77"/>
      <c r="D11" s="77"/>
      <c r="E11" s="77"/>
      <c r="F11" s="77"/>
      <c r="G11" s="77"/>
      <c r="H11" s="77"/>
      <c r="I11" s="77"/>
      <c r="J11" t="str">
        <f t="shared" ref="J11:J20" ca="1" si="1">_xlfn.FORMULATEXT(B11)</f>
        <v>=IFERROR(FIND("Excel",B4),"Match Not found")</v>
      </c>
    </row>
    <row r="12" spans="1:10">
      <c r="A12" s="10" t="s">
        <v>37</v>
      </c>
      <c r="B12" s="77">
        <f>SEARCH("Tutorial",B1)</f>
        <v>7</v>
      </c>
      <c r="C12" s="77"/>
      <c r="D12" s="77"/>
      <c r="E12" s="77"/>
      <c r="F12" s="77"/>
      <c r="G12" s="77"/>
      <c r="H12" s="77"/>
      <c r="I12" s="77"/>
      <c r="J12" t="str">
        <f t="shared" ca="1" si="1"/>
        <v>=SEARCH("Tutorial",B1)</v>
      </c>
    </row>
    <row r="13" spans="1:10">
      <c r="A13" s="11"/>
    </row>
    <row r="14" spans="1:10">
      <c r="A14" s="10" t="s">
        <v>38</v>
      </c>
      <c r="B14" s="77"/>
      <c r="C14" s="77"/>
      <c r="D14" s="77"/>
      <c r="E14" s="77"/>
      <c r="F14" s="77"/>
      <c r="G14" s="77"/>
      <c r="H14" s="77"/>
      <c r="I14" s="77"/>
    </row>
    <row r="15" spans="1:10">
      <c r="A15" s="12" t="s">
        <v>39</v>
      </c>
      <c r="B15" s="78" t="str">
        <f>_xlfn.CONCAT(B7," ",B8)</f>
        <v>Excel tutoRiAL</v>
      </c>
      <c r="C15" s="78"/>
      <c r="D15" s="78"/>
      <c r="E15" s="78"/>
      <c r="F15" s="78"/>
      <c r="G15" s="78"/>
      <c r="H15" s="78"/>
      <c r="I15" s="78"/>
      <c r="J15" t="str">
        <f t="shared" ca="1" si="1"/>
        <v>=CONCAT(B7," ",B8)</v>
      </c>
    </row>
    <row r="16" spans="1:10">
      <c r="A16" s="10" t="s">
        <v>40</v>
      </c>
      <c r="B16" s="16" t="b">
        <f>EXACT(B15,B5)</f>
        <v>0</v>
      </c>
      <c r="C16" s="16" t="b">
        <f>EXACT(B15,B1)</f>
        <v>1</v>
      </c>
      <c r="D16" s="16" t="b">
        <f>EXACT(B9,B7)</f>
        <v>0</v>
      </c>
      <c r="E16" s="16" t="b">
        <f>EXACT(B7,B8)</f>
        <v>0</v>
      </c>
      <c r="F16" s="16"/>
      <c r="G16" s="16"/>
      <c r="H16" s="16"/>
      <c r="I16" s="16"/>
      <c r="J16" t="str">
        <f t="shared" ca="1" si="1"/>
        <v>=EXACT(B15,B5)</v>
      </c>
    </row>
    <row r="17" spans="1:10">
      <c r="A17" s="10" t="s">
        <v>41</v>
      </c>
      <c r="B17" s="74" t="str">
        <f>TRIM(B3)</f>
        <v>EXCEL TUTORIAL</v>
      </c>
      <c r="C17" s="75"/>
      <c r="D17" s="75"/>
      <c r="E17" s="75"/>
      <c r="F17" s="75"/>
      <c r="G17" s="75"/>
      <c r="H17" s="75"/>
      <c r="I17" s="76"/>
      <c r="J17" t="str">
        <f t="shared" ca="1" si="1"/>
        <v>=TRIM(B3)</v>
      </c>
    </row>
    <row r="18" spans="1:10">
      <c r="A18" s="10" t="s">
        <v>42</v>
      </c>
      <c r="B18" s="74" t="str">
        <f>REPT(B7,5)</f>
        <v>ExcelExcelExcelExcelExcel</v>
      </c>
      <c r="C18" s="75"/>
      <c r="D18" s="75"/>
      <c r="E18" s="75"/>
      <c r="F18" s="75"/>
      <c r="G18" s="75"/>
      <c r="H18" s="75"/>
      <c r="I18" s="76"/>
      <c r="J18" t="str">
        <f t="shared" ca="1" si="1"/>
        <v>=REPT(B7,5)</v>
      </c>
    </row>
    <row r="19" spans="1:10">
      <c r="A19" s="10" t="s">
        <v>43</v>
      </c>
      <c r="B19" s="74" t="b">
        <f>ISNUMBER(J1)</f>
        <v>1</v>
      </c>
      <c r="C19" s="75"/>
      <c r="D19" s="75"/>
      <c r="E19" s="75"/>
      <c r="F19" s="75"/>
      <c r="G19" s="75"/>
      <c r="H19" s="75"/>
      <c r="I19" s="76"/>
      <c r="J19" t="str">
        <f t="shared" ca="1" si="1"/>
        <v>=ISNUMBER(J1)</v>
      </c>
    </row>
    <row r="20" spans="1:10" ht="41.4" customHeight="1">
      <c r="A20" s="10" t="s">
        <v>44</v>
      </c>
      <c r="B20" s="74" t="str">
        <f>REPLACE(B1,7,8,"Lessons")</f>
        <v>Excel Lessons</v>
      </c>
      <c r="C20" s="75"/>
      <c r="D20" s="75"/>
      <c r="E20" s="75"/>
      <c r="F20" s="75"/>
      <c r="G20" s="75"/>
      <c r="H20" s="75"/>
      <c r="I20" s="76"/>
      <c r="J20" t="str">
        <f t="shared" ca="1" si="1"/>
        <v>=REPLACE(B1,7,8,"Lessons")</v>
      </c>
    </row>
    <row r="25" spans="1:10">
      <c r="B25">
        <v>45687</v>
      </c>
    </row>
    <row r="27" spans="1:10">
      <c r="E27" t="s">
        <v>185</v>
      </c>
      <c r="F27" t="s">
        <v>68</v>
      </c>
    </row>
    <row r="29" spans="1:10">
      <c r="E29" t="b">
        <f>EXACT(TRIM(E27),F27)</f>
        <v>1</v>
      </c>
    </row>
  </sheetData>
  <mergeCells count="15">
    <mergeCell ref="B8:I8"/>
    <mergeCell ref="B1:I1"/>
    <mergeCell ref="B3:I3"/>
    <mergeCell ref="B4:I4"/>
    <mergeCell ref="B5:I5"/>
    <mergeCell ref="B7:I7"/>
    <mergeCell ref="B17:I17"/>
    <mergeCell ref="B18:I18"/>
    <mergeCell ref="B19:I19"/>
    <mergeCell ref="B20:I20"/>
    <mergeCell ref="B9:I9"/>
    <mergeCell ref="B11:I11"/>
    <mergeCell ref="B12:I12"/>
    <mergeCell ref="B14:I14"/>
    <mergeCell ref="B15:I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47E6-02A2-4DCD-910D-58F33996CC98}">
  <dimension ref="A1:O17"/>
  <sheetViews>
    <sheetView zoomScale="130" zoomScaleNormal="130" workbookViewId="0">
      <selection activeCell="C13" sqref="C13"/>
    </sheetView>
  </sheetViews>
  <sheetFormatPr defaultRowHeight="14.4"/>
  <cols>
    <col min="1" max="1" width="20.6640625" customWidth="1"/>
    <col min="3" max="3" width="12.109375" bestFit="1" customWidth="1"/>
    <col min="7" max="7" width="20.77734375" customWidth="1"/>
    <col min="13" max="13" width="16.21875" customWidth="1"/>
  </cols>
  <sheetData>
    <row r="1" spans="1:15">
      <c r="A1" t="s">
        <v>73</v>
      </c>
      <c r="G1" t="s">
        <v>72</v>
      </c>
      <c r="M1" t="s">
        <v>71</v>
      </c>
    </row>
    <row r="2" spans="1:15">
      <c r="A2" s="50" t="s">
        <v>50</v>
      </c>
      <c r="G2" s="14" t="s">
        <v>50</v>
      </c>
      <c r="M2" s="14" t="s">
        <v>50</v>
      </c>
    </row>
    <row r="3" spans="1:15">
      <c r="A3" s="51" t="s">
        <v>49</v>
      </c>
      <c r="B3" t="s">
        <v>68</v>
      </c>
      <c r="C3" t="s">
        <v>67</v>
      </c>
      <c r="G3" t="s">
        <v>70</v>
      </c>
      <c r="H3" t="s">
        <v>68</v>
      </c>
      <c r="I3" t="s">
        <v>67</v>
      </c>
      <c r="M3" t="s">
        <v>69</v>
      </c>
      <c r="N3" t="s">
        <v>68</v>
      </c>
      <c r="O3" t="s">
        <v>67</v>
      </c>
    </row>
    <row r="4" spans="1:15">
      <c r="A4" s="51" t="s">
        <v>48</v>
      </c>
      <c r="B4" t="s">
        <v>64</v>
      </c>
      <c r="C4" t="s">
        <v>63</v>
      </c>
      <c r="G4" t="s">
        <v>66</v>
      </c>
      <c r="H4" t="s">
        <v>64</v>
      </c>
      <c r="I4" t="s">
        <v>63</v>
      </c>
      <c r="M4" t="s">
        <v>65</v>
      </c>
      <c r="N4" t="s">
        <v>64</v>
      </c>
      <c r="O4" t="s">
        <v>63</v>
      </c>
    </row>
    <row r="5" spans="1:15">
      <c r="A5" s="51" t="s">
        <v>47</v>
      </c>
      <c r="B5" t="s">
        <v>60</v>
      </c>
      <c r="C5" t="s">
        <v>59</v>
      </c>
      <c r="G5" t="s">
        <v>62</v>
      </c>
      <c r="H5" t="s">
        <v>60</v>
      </c>
      <c r="I5" t="s">
        <v>59</v>
      </c>
      <c r="M5" t="s">
        <v>61</v>
      </c>
      <c r="N5" t="s">
        <v>60</v>
      </c>
      <c r="O5" t="s">
        <v>59</v>
      </c>
    </row>
    <row r="6" spans="1:15">
      <c r="A6" s="51" t="s">
        <v>46</v>
      </c>
      <c r="B6" t="s">
        <v>56</v>
      </c>
      <c r="C6" t="s">
        <v>55</v>
      </c>
      <c r="G6" t="s">
        <v>58</v>
      </c>
      <c r="H6" t="s">
        <v>56</v>
      </c>
      <c r="I6" t="s">
        <v>55</v>
      </c>
      <c r="M6" t="s">
        <v>57</v>
      </c>
      <c r="N6" t="s">
        <v>56</v>
      </c>
      <c r="O6" t="s">
        <v>55</v>
      </c>
    </row>
    <row r="7" spans="1:15">
      <c r="A7" s="51" t="s">
        <v>45</v>
      </c>
      <c r="B7" t="s">
        <v>52</v>
      </c>
      <c r="C7" t="s">
        <v>51</v>
      </c>
      <c r="G7" t="s">
        <v>54</v>
      </c>
      <c r="H7" t="s">
        <v>52</v>
      </c>
      <c r="I7" t="s">
        <v>51</v>
      </c>
      <c r="M7" t="s">
        <v>53</v>
      </c>
      <c r="N7" t="s">
        <v>52</v>
      </c>
      <c r="O7" t="s">
        <v>51</v>
      </c>
    </row>
    <row r="12" spans="1:15">
      <c r="A12" s="14" t="s">
        <v>50</v>
      </c>
    </row>
    <row r="13" spans="1:15">
      <c r="A13" s="13" t="s">
        <v>49</v>
      </c>
      <c r="B13" t="s">
        <v>219</v>
      </c>
      <c r="C13" t="s">
        <v>245</v>
      </c>
      <c r="D13" t="s">
        <v>246</v>
      </c>
    </row>
    <row r="14" spans="1:15">
      <c r="A14" s="13" t="s">
        <v>48</v>
      </c>
      <c r="B14" t="s">
        <v>220</v>
      </c>
      <c r="C14" t="s">
        <v>247</v>
      </c>
      <c r="D14" t="s">
        <v>248</v>
      </c>
    </row>
    <row r="15" spans="1:15">
      <c r="A15" s="13" t="s">
        <v>47</v>
      </c>
      <c r="B15" t="s">
        <v>221</v>
      </c>
      <c r="C15" t="s">
        <v>249</v>
      </c>
      <c r="D15" t="s">
        <v>250</v>
      </c>
    </row>
    <row r="16" spans="1:15">
      <c r="A16" s="13" t="s">
        <v>46</v>
      </c>
      <c r="B16" t="s">
        <v>222</v>
      </c>
      <c r="C16" t="s">
        <v>223</v>
      </c>
    </row>
    <row r="17" spans="1:4">
      <c r="A17" s="13" t="s">
        <v>45</v>
      </c>
      <c r="B17" t="s">
        <v>224</v>
      </c>
      <c r="C17" t="s">
        <v>251</v>
      </c>
      <c r="D17" t="s">
        <v>252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1C9A-7A35-4F22-89E5-C9995BD8403C}">
  <dimension ref="A1:T33"/>
  <sheetViews>
    <sheetView topLeftCell="A11" zoomScale="130" zoomScaleNormal="130" workbookViewId="0">
      <selection activeCell="C38" sqref="C38"/>
    </sheetView>
  </sheetViews>
  <sheetFormatPr defaultRowHeight="14.4"/>
  <cols>
    <col min="1" max="1" width="18.33203125" customWidth="1"/>
    <col min="2" max="2" width="22.6640625" bestFit="1" customWidth="1"/>
    <col min="3" max="3" width="12.5546875" customWidth="1"/>
    <col min="4" max="4" width="12.44140625" customWidth="1"/>
    <col min="5" max="5" width="11" customWidth="1"/>
    <col min="6" max="6" width="12.109375" bestFit="1" customWidth="1"/>
  </cols>
  <sheetData>
    <row r="1" spans="1:20" ht="23.4">
      <c r="A1" s="2" t="s">
        <v>94</v>
      </c>
    </row>
    <row r="3" spans="1:20" ht="18">
      <c r="A3" s="3" t="s">
        <v>1</v>
      </c>
    </row>
    <row r="5" spans="1:20" ht="81" customHeight="1">
      <c r="A5" s="80" t="s">
        <v>95</v>
      </c>
      <c r="B5" s="80"/>
      <c r="C5" s="80"/>
      <c r="D5" s="80"/>
      <c r="E5" s="80"/>
      <c r="F5" s="80"/>
      <c r="G5" s="80"/>
      <c r="H5" s="80"/>
      <c r="I5" s="80"/>
      <c r="J5" s="80"/>
      <c r="K5" s="37"/>
      <c r="L5" s="37"/>
      <c r="M5" s="37"/>
      <c r="N5" s="37"/>
      <c r="O5" s="37"/>
      <c r="P5" s="37"/>
      <c r="Q5" s="37"/>
      <c r="R5" s="37"/>
      <c r="S5" s="37"/>
      <c r="T5" s="37"/>
    </row>
    <row r="7" spans="1:20" ht="18">
      <c r="A7" s="3" t="s">
        <v>3</v>
      </c>
    </row>
    <row r="9" spans="1:20">
      <c r="A9" t="s">
        <v>96</v>
      </c>
    </row>
    <row r="11" spans="1:20">
      <c r="A11" t="s">
        <v>97</v>
      </c>
    </row>
    <row r="13" spans="1:20">
      <c r="A13" t="s">
        <v>98</v>
      </c>
      <c r="I13" t="s">
        <v>186</v>
      </c>
    </row>
    <row r="15" spans="1:20">
      <c r="A15" s="19" t="s">
        <v>99</v>
      </c>
      <c r="B15" s="20" t="s">
        <v>6</v>
      </c>
      <c r="C15" s="20" t="s">
        <v>108</v>
      </c>
      <c r="D15" s="20" t="s">
        <v>109</v>
      </c>
      <c r="E15" s="20" t="s">
        <v>110</v>
      </c>
      <c r="F15" s="38" t="s">
        <v>111</v>
      </c>
    </row>
    <row r="16" spans="1:20">
      <c r="A16" s="21" t="s">
        <v>100</v>
      </c>
      <c r="B16" s="22" t="s">
        <v>101</v>
      </c>
      <c r="C16" s="27" t="s">
        <v>187</v>
      </c>
      <c r="D16" s="27" t="s">
        <v>253</v>
      </c>
      <c r="E16" s="27" t="s">
        <v>225</v>
      </c>
      <c r="F16" s="27" t="s">
        <v>229</v>
      </c>
    </row>
    <row r="17" spans="1:6">
      <c r="A17" s="23" t="s">
        <v>102</v>
      </c>
      <c r="B17" s="24" t="s">
        <v>103</v>
      </c>
      <c r="C17" s="18" t="s">
        <v>188</v>
      </c>
      <c r="D17" s="18" t="s">
        <v>256</v>
      </c>
      <c r="E17" s="18" t="s">
        <v>226</v>
      </c>
      <c r="F17" s="18" t="s">
        <v>229</v>
      </c>
    </row>
    <row r="18" spans="1:6">
      <c r="A18" s="21" t="s">
        <v>104</v>
      </c>
      <c r="B18" s="22" t="s">
        <v>105</v>
      </c>
      <c r="C18" s="27" t="s">
        <v>189</v>
      </c>
      <c r="D18" s="27" t="s">
        <v>254</v>
      </c>
      <c r="E18" s="27" t="s">
        <v>227</v>
      </c>
      <c r="F18" s="27" t="s">
        <v>230</v>
      </c>
    </row>
    <row r="19" spans="1:6">
      <c r="A19" s="17" t="s">
        <v>106</v>
      </c>
      <c r="B19" s="18" t="s">
        <v>107</v>
      </c>
      <c r="C19" s="18" t="s">
        <v>190</v>
      </c>
      <c r="D19" s="18" t="s">
        <v>255</v>
      </c>
      <c r="E19" s="18" t="s">
        <v>228</v>
      </c>
      <c r="F19" s="18" t="s">
        <v>231</v>
      </c>
    </row>
    <row r="21" spans="1:6">
      <c r="A21" t="s">
        <v>112</v>
      </c>
      <c r="B21" t="s">
        <v>113</v>
      </c>
      <c r="C21" s="26" t="s">
        <v>119</v>
      </c>
      <c r="D21" s="26" t="s">
        <v>120</v>
      </c>
    </row>
    <row r="22" spans="1:6">
      <c r="A22" t="s">
        <v>114</v>
      </c>
      <c r="B22">
        <v>1001</v>
      </c>
      <c r="C22" s="27">
        <v>101</v>
      </c>
      <c r="D22" s="27" t="s">
        <v>232</v>
      </c>
    </row>
    <row r="23" spans="1:6">
      <c r="A23" t="s">
        <v>115</v>
      </c>
      <c r="B23">
        <v>1002</v>
      </c>
      <c r="C23" s="18">
        <v>102</v>
      </c>
      <c r="D23" s="18" t="s">
        <v>233</v>
      </c>
    </row>
    <row r="24" spans="1:6">
      <c r="A24" t="s">
        <v>116</v>
      </c>
      <c r="B24">
        <v>1003</v>
      </c>
      <c r="C24" s="27">
        <v>103</v>
      </c>
      <c r="D24" s="27" t="s">
        <v>234</v>
      </c>
    </row>
    <row r="25" spans="1:6">
      <c r="A25" t="s">
        <v>117</v>
      </c>
      <c r="B25">
        <v>1004</v>
      </c>
      <c r="C25" s="18">
        <v>104</v>
      </c>
      <c r="D25" s="18" t="s">
        <v>235</v>
      </c>
    </row>
    <row r="26" spans="1:6">
      <c r="A26" t="s">
        <v>118</v>
      </c>
      <c r="B26">
        <v>1005</v>
      </c>
      <c r="C26" s="27">
        <v>105</v>
      </c>
      <c r="D26" s="27" t="s">
        <v>236</v>
      </c>
    </row>
    <row r="28" spans="1:6">
      <c r="A28" s="25" t="s">
        <v>121</v>
      </c>
      <c r="B28" s="26" t="s">
        <v>122</v>
      </c>
    </row>
    <row r="29" spans="1:6">
      <c r="A29" s="28" t="s">
        <v>123</v>
      </c>
      <c r="B29" s="27" t="s">
        <v>193</v>
      </c>
    </row>
    <row r="30" spans="1:6">
      <c r="A30" s="28" t="s">
        <v>124</v>
      </c>
      <c r="B30" s="18" t="s">
        <v>193</v>
      </c>
    </row>
    <row r="31" spans="1:6">
      <c r="A31" s="28" t="s">
        <v>125</v>
      </c>
      <c r="B31" s="27" t="s">
        <v>193</v>
      </c>
    </row>
    <row r="32" spans="1:6">
      <c r="A32" s="28" t="s">
        <v>126</v>
      </c>
      <c r="B32" s="18" t="s">
        <v>193</v>
      </c>
    </row>
    <row r="33" spans="1:2">
      <c r="A33" s="28" t="s">
        <v>127</v>
      </c>
      <c r="B33" s="27" t="s">
        <v>193</v>
      </c>
    </row>
  </sheetData>
  <mergeCells count="1">
    <mergeCell ref="A5:J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7D90-CE0C-4AB1-B40D-115ED1567B0C}">
  <dimension ref="A1:U63"/>
  <sheetViews>
    <sheetView zoomScale="115" zoomScaleNormal="115" workbookViewId="0">
      <selection activeCell="E26" sqref="E26"/>
    </sheetView>
  </sheetViews>
  <sheetFormatPr defaultRowHeight="14.4"/>
  <cols>
    <col min="1" max="1" width="20.88671875" customWidth="1"/>
    <col min="2" max="2" width="20.109375" customWidth="1"/>
    <col min="3" max="3" width="18.109375" customWidth="1"/>
    <col min="4" max="4" width="15.77734375" customWidth="1"/>
    <col min="8" max="8" width="10.5546875" bestFit="1" customWidth="1"/>
    <col min="13" max="13" width="10.5546875" bestFit="1" customWidth="1"/>
  </cols>
  <sheetData>
    <row r="1" spans="1:21" ht="23.4">
      <c r="A1" s="2" t="s">
        <v>170</v>
      </c>
    </row>
    <row r="3" spans="1:21" ht="18">
      <c r="A3" s="3" t="s">
        <v>171</v>
      </c>
    </row>
    <row r="5" spans="1:21" ht="33.6" customHeight="1">
      <c r="A5" s="83" t="s">
        <v>172</v>
      </c>
      <c r="B5" s="83"/>
      <c r="C5" s="83"/>
      <c r="D5" s="83"/>
      <c r="E5" s="83"/>
      <c r="F5" s="83"/>
      <c r="G5" s="83"/>
      <c r="H5" s="83"/>
      <c r="I5" s="83"/>
      <c r="J5" s="83"/>
      <c r="K5" s="83"/>
      <c r="L5" s="83"/>
      <c r="M5" s="83"/>
      <c r="N5" s="36"/>
      <c r="O5" s="36"/>
      <c r="P5" s="36"/>
      <c r="Q5" s="36"/>
      <c r="R5" s="33"/>
    </row>
    <row r="6" spans="1:21">
      <c r="A6" s="83"/>
      <c r="B6" s="83"/>
      <c r="C6" s="83"/>
      <c r="D6" s="83"/>
      <c r="E6" s="83"/>
      <c r="F6" s="83"/>
      <c r="G6" s="83"/>
      <c r="H6" s="83"/>
      <c r="I6" s="83"/>
      <c r="J6" s="83"/>
      <c r="K6" s="83"/>
      <c r="L6" s="83"/>
      <c r="M6" s="83"/>
      <c r="N6" s="36"/>
      <c r="O6" s="36"/>
      <c r="P6" s="36"/>
      <c r="Q6" s="36"/>
    </row>
    <row r="7" spans="1:21" ht="18">
      <c r="A7" s="81" t="s">
        <v>130</v>
      </c>
      <c r="B7" s="81"/>
      <c r="C7" s="81"/>
      <c r="D7" s="81"/>
      <c r="E7" s="81"/>
      <c r="F7" s="81"/>
      <c r="G7" s="81"/>
      <c r="H7" s="81"/>
      <c r="I7" s="81"/>
      <c r="J7" s="81"/>
      <c r="K7" s="81"/>
      <c r="L7" s="81"/>
      <c r="M7" s="81"/>
      <c r="N7" s="81"/>
      <c r="O7" s="81"/>
      <c r="P7" s="81"/>
      <c r="Q7" s="81"/>
      <c r="R7" s="81"/>
      <c r="S7" s="81"/>
    </row>
    <row r="9" spans="1:21" ht="28.2" customHeight="1">
      <c r="A9" s="82" t="s">
        <v>131</v>
      </c>
      <c r="B9" s="82"/>
      <c r="C9" s="82"/>
      <c r="D9" s="82"/>
      <c r="E9" s="82"/>
      <c r="F9" s="82"/>
      <c r="G9" s="82"/>
      <c r="H9" s="82"/>
      <c r="I9" s="82"/>
      <c r="J9" s="82"/>
      <c r="K9" s="82"/>
      <c r="L9" s="82"/>
      <c r="M9" s="82"/>
      <c r="N9" s="82"/>
      <c r="O9" s="82"/>
      <c r="P9" s="82"/>
      <c r="Q9" s="82"/>
      <c r="R9" s="82"/>
      <c r="S9" s="82"/>
      <c r="T9" s="82"/>
      <c r="U9" s="82"/>
    </row>
    <row r="11" spans="1:21" ht="18.600000000000001" customHeight="1">
      <c r="A11" s="81" t="s">
        <v>132</v>
      </c>
      <c r="B11" s="81"/>
      <c r="C11" s="81"/>
      <c r="D11" s="81"/>
      <c r="E11" s="81"/>
      <c r="F11" s="81"/>
      <c r="G11" s="81"/>
      <c r="H11" s="81"/>
      <c r="I11" s="81"/>
      <c r="J11" s="81"/>
      <c r="K11" s="81"/>
      <c r="L11" s="81"/>
      <c r="M11" s="81"/>
      <c r="N11" s="81"/>
      <c r="O11" s="81"/>
      <c r="P11" s="81"/>
      <c r="Q11" s="81"/>
      <c r="R11" s="81"/>
      <c r="S11" s="81"/>
      <c r="T11" s="81"/>
    </row>
    <row r="13" spans="1:21">
      <c r="A13" t="s">
        <v>133</v>
      </c>
    </row>
    <row r="15" spans="1:21">
      <c r="A15" s="35" t="s">
        <v>134</v>
      </c>
      <c r="B15" s="35" t="s">
        <v>135</v>
      </c>
      <c r="C15" s="35" t="s">
        <v>136</v>
      </c>
      <c r="D15" s="35" t="s">
        <v>137</v>
      </c>
    </row>
    <row r="16" spans="1:21">
      <c r="A16" s="4" t="s">
        <v>138</v>
      </c>
      <c r="B16" s="34">
        <v>44986</v>
      </c>
      <c r="C16" s="34">
        <v>44990</v>
      </c>
      <c r="D16" s="34">
        <v>44985</v>
      </c>
      <c r="H16" s="32"/>
      <c r="M16" s="32"/>
    </row>
    <row r="17" spans="1:13">
      <c r="A17" s="4" t="s">
        <v>139</v>
      </c>
      <c r="B17" s="34">
        <v>45117</v>
      </c>
      <c r="C17" s="34">
        <v>45119</v>
      </c>
      <c r="D17" s="34">
        <v>45108</v>
      </c>
      <c r="H17" s="32"/>
      <c r="M17" s="32"/>
    </row>
    <row r="18" spans="1:13">
      <c r="A18" s="4" t="s">
        <v>140</v>
      </c>
      <c r="B18" s="34">
        <v>45214</v>
      </c>
      <c r="C18" s="34">
        <v>45217</v>
      </c>
      <c r="D18" s="34">
        <v>45209</v>
      </c>
      <c r="H18" s="32"/>
      <c r="M18" s="32"/>
    </row>
    <row r="19" spans="1:13">
      <c r="A19" s="4" t="s">
        <v>141</v>
      </c>
      <c r="B19" s="34">
        <v>45066</v>
      </c>
      <c r="C19" s="34">
        <v>45067</v>
      </c>
      <c r="D19" s="34">
        <v>45061</v>
      </c>
      <c r="H19" s="32"/>
      <c r="M19" s="32"/>
    </row>
    <row r="20" spans="1:13">
      <c r="A20" s="4" t="s">
        <v>142</v>
      </c>
      <c r="B20" s="34">
        <v>45194</v>
      </c>
      <c r="C20" s="34">
        <v>45195</v>
      </c>
      <c r="D20" s="34">
        <v>45189</v>
      </c>
      <c r="H20" s="32"/>
      <c r="M20" s="32"/>
    </row>
    <row r="22" spans="1:13" ht="18">
      <c r="A22" s="3" t="s">
        <v>143</v>
      </c>
    </row>
    <row r="24" spans="1:13" ht="15.6">
      <c r="A24" s="29" t="s">
        <v>144</v>
      </c>
    </row>
    <row r="26" spans="1:13">
      <c r="A26" t="s">
        <v>145</v>
      </c>
    </row>
    <row r="27" spans="1:13">
      <c r="A27" s="7"/>
    </row>
    <row r="28" spans="1:13">
      <c r="A28" s="8" t="s">
        <v>146</v>
      </c>
    </row>
    <row r="29" spans="1:13">
      <c r="A29" s="31" t="s">
        <v>147</v>
      </c>
    </row>
    <row r="30" spans="1:13">
      <c r="A30" s="8" t="s">
        <v>148</v>
      </c>
    </row>
    <row r="31" spans="1:13">
      <c r="A31" s="31" t="s">
        <v>149</v>
      </c>
    </row>
    <row r="32" spans="1:13">
      <c r="A32" s="8" t="s">
        <v>150</v>
      </c>
    </row>
    <row r="33" spans="1:1">
      <c r="A33" s="31" t="s">
        <v>151</v>
      </c>
    </row>
    <row r="35" spans="1:1" ht="15.6">
      <c r="A35" s="29" t="s">
        <v>152</v>
      </c>
    </row>
    <row r="37" spans="1:1">
      <c r="A37" t="s">
        <v>153</v>
      </c>
    </row>
    <row r="38" spans="1:1">
      <c r="A38" s="7"/>
    </row>
    <row r="39" spans="1:1">
      <c r="A39" s="8" t="s">
        <v>154</v>
      </c>
    </row>
    <row r="40" spans="1:1">
      <c r="A40" s="31" t="s">
        <v>155</v>
      </c>
    </row>
    <row r="42" spans="1:1" ht="15.6">
      <c r="A42" s="29" t="s">
        <v>156</v>
      </c>
    </row>
    <row r="44" spans="1:1">
      <c r="A44" t="s">
        <v>157</v>
      </c>
    </row>
    <row r="45" spans="1:1">
      <c r="A45" s="7"/>
    </row>
    <row r="46" spans="1:1">
      <c r="A46" s="8" t="s">
        <v>158</v>
      </c>
    </row>
    <row r="47" spans="1:1">
      <c r="A47" s="31" t="s">
        <v>159</v>
      </c>
    </row>
    <row r="49" spans="1:1" ht="15.6">
      <c r="A49" s="29" t="s">
        <v>160</v>
      </c>
    </row>
    <row r="51" spans="1:1">
      <c r="A51" t="s">
        <v>161</v>
      </c>
    </row>
    <row r="52" spans="1:1">
      <c r="A52" s="7"/>
    </row>
    <row r="53" spans="1:1">
      <c r="A53" s="8" t="s">
        <v>162</v>
      </c>
    </row>
    <row r="54" spans="1:1">
      <c r="A54" s="30" t="s">
        <v>163</v>
      </c>
    </row>
    <row r="55" spans="1:1">
      <c r="A55" s="30" t="s">
        <v>164</v>
      </c>
    </row>
    <row r="56" spans="1:1">
      <c r="A56" s="30" t="s">
        <v>165</v>
      </c>
    </row>
    <row r="58" spans="1:1" ht="15.6">
      <c r="A58" s="29" t="s">
        <v>166</v>
      </c>
    </row>
    <row r="60" spans="1:1">
      <c r="A60" t="s">
        <v>167</v>
      </c>
    </row>
    <row r="61" spans="1:1">
      <c r="A61" s="7"/>
    </row>
    <row r="62" spans="1:1">
      <c r="A62" s="8" t="s">
        <v>168</v>
      </c>
    </row>
    <row r="63" spans="1:1">
      <c r="A63" s="31" t="s">
        <v>169</v>
      </c>
    </row>
  </sheetData>
  <mergeCells count="4">
    <mergeCell ref="A7:S7"/>
    <mergeCell ref="A9:U9"/>
    <mergeCell ref="A5:M6"/>
    <mergeCell ref="A11:T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3364-9CEE-4540-9493-9B9A45F3C62E}">
  <dimension ref="A1:H17"/>
  <sheetViews>
    <sheetView workbookViewId="0">
      <selection activeCell="L12" sqref="L12"/>
    </sheetView>
  </sheetViews>
  <sheetFormatPr defaultRowHeight="14.4"/>
  <cols>
    <col min="2" max="2" width="15.44140625" bestFit="1" customWidth="1"/>
    <col min="3" max="3" width="13.5546875" customWidth="1"/>
    <col min="8" max="8" width="10.33203125" bestFit="1" customWidth="1"/>
  </cols>
  <sheetData>
    <row r="1" spans="1:8">
      <c r="A1" s="53" t="s">
        <v>191</v>
      </c>
      <c r="B1" s="54">
        <f ca="1">TODAY()</f>
        <v>45790</v>
      </c>
      <c r="C1" s="53" t="str">
        <f ca="1">_xlfn.FORMULATEXT(B1)</f>
        <v>=TODAY()</v>
      </c>
    </row>
    <row r="2" spans="1:8">
      <c r="A2" s="53" t="s">
        <v>257</v>
      </c>
      <c r="B2" s="55">
        <f ca="1">NOW()</f>
        <v>45790.445373263887</v>
      </c>
      <c r="C2" s="53" t="str">
        <f ca="1">_xlfn.FORMULATEXT(B2)</f>
        <v>=NOW()</v>
      </c>
    </row>
    <row r="5" spans="1:8">
      <c r="E5" s="57" t="s">
        <v>128</v>
      </c>
      <c r="F5" s="57" t="s">
        <v>204</v>
      </c>
      <c r="G5" s="57" t="s">
        <v>129</v>
      </c>
      <c r="H5" s="57" t="s">
        <v>176</v>
      </c>
    </row>
    <row r="6" spans="1:8">
      <c r="E6" s="48">
        <v>1</v>
      </c>
      <c r="F6" s="48">
        <v>1</v>
      </c>
      <c r="G6" s="48">
        <v>2023</v>
      </c>
      <c r="H6" s="56">
        <f>DATE(G6,F6,E6)</f>
        <v>44927</v>
      </c>
    </row>
    <row r="7" spans="1:8">
      <c r="E7" s="48">
        <v>2</v>
      </c>
      <c r="F7" s="48">
        <v>2</v>
      </c>
      <c r="G7" s="48">
        <v>2024</v>
      </c>
      <c r="H7" s="56">
        <f t="shared" ref="H7:H17" si="0">DATE(G7,F7,E7)</f>
        <v>45324</v>
      </c>
    </row>
    <row r="8" spans="1:8">
      <c r="E8" s="48">
        <v>3</v>
      </c>
      <c r="F8" s="48">
        <v>3</v>
      </c>
      <c r="G8" s="48">
        <v>2024</v>
      </c>
      <c r="H8" s="56">
        <f t="shared" si="0"/>
        <v>45354</v>
      </c>
    </row>
    <row r="9" spans="1:8">
      <c r="E9" s="48">
        <v>4</v>
      </c>
      <c r="F9" s="48">
        <v>4</v>
      </c>
      <c r="G9" s="48">
        <v>2024</v>
      </c>
      <c r="H9" s="56">
        <f t="shared" si="0"/>
        <v>45386</v>
      </c>
    </row>
    <row r="10" spans="1:8">
      <c r="E10" s="48">
        <v>5</v>
      </c>
      <c r="F10" s="48">
        <v>5</v>
      </c>
      <c r="G10" s="48">
        <v>2024</v>
      </c>
      <c r="H10" s="56">
        <f t="shared" si="0"/>
        <v>45417</v>
      </c>
    </row>
    <row r="11" spans="1:8">
      <c r="E11" s="48">
        <v>6</v>
      </c>
      <c r="F11" s="48">
        <v>6</v>
      </c>
      <c r="G11" s="48">
        <v>2024</v>
      </c>
      <c r="H11" s="56">
        <f t="shared" si="0"/>
        <v>45449</v>
      </c>
    </row>
    <row r="12" spans="1:8">
      <c r="E12" s="48">
        <v>7</v>
      </c>
      <c r="F12" s="48">
        <v>7</v>
      </c>
      <c r="G12" s="48">
        <v>2024</v>
      </c>
      <c r="H12" s="56">
        <f t="shared" si="0"/>
        <v>45480</v>
      </c>
    </row>
    <row r="13" spans="1:8">
      <c r="E13" s="48">
        <v>8</v>
      </c>
      <c r="F13" s="48">
        <v>8</v>
      </c>
      <c r="G13" s="48">
        <v>2024</v>
      </c>
      <c r="H13" s="56">
        <f t="shared" si="0"/>
        <v>45512</v>
      </c>
    </row>
    <row r="14" spans="1:8">
      <c r="E14" s="48">
        <v>9</v>
      </c>
      <c r="F14" s="48">
        <v>9</v>
      </c>
      <c r="G14" s="48">
        <v>2024</v>
      </c>
      <c r="H14" s="56">
        <f t="shared" si="0"/>
        <v>45544</v>
      </c>
    </row>
    <row r="15" spans="1:8">
      <c r="E15" s="48">
        <v>10</v>
      </c>
      <c r="F15" s="48">
        <v>10</v>
      </c>
      <c r="G15" s="48">
        <v>2024</v>
      </c>
      <c r="H15" s="56">
        <f t="shared" si="0"/>
        <v>45575</v>
      </c>
    </row>
    <row r="16" spans="1:8">
      <c r="E16" s="48">
        <v>11</v>
      </c>
      <c r="F16" s="48">
        <v>11</v>
      </c>
      <c r="G16" s="48">
        <v>2024</v>
      </c>
      <c r="H16" s="56">
        <f t="shared" si="0"/>
        <v>45607</v>
      </c>
    </row>
    <row r="17" spans="5:8">
      <c r="E17" s="48">
        <v>12</v>
      </c>
      <c r="F17" s="48">
        <v>12</v>
      </c>
      <c r="G17" s="48">
        <v>2024</v>
      </c>
      <c r="H17" s="56">
        <f t="shared" si="0"/>
        <v>45638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CF6E-BDE5-4098-9E51-947CA69B3A95}">
  <dimension ref="A1:V61"/>
  <sheetViews>
    <sheetView topLeftCell="A7" zoomScale="91" zoomScaleNormal="115" workbookViewId="0">
      <pane ySplit="9" topLeftCell="A48" activePane="bottomLeft" state="frozen"/>
      <selection activeCell="A7" sqref="A7"/>
      <selection pane="bottomLeft" activeCell="D12" sqref="D12"/>
    </sheetView>
  </sheetViews>
  <sheetFormatPr defaultRowHeight="14.4"/>
  <cols>
    <col min="1" max="1" width="29.21875" customWidth="1"/>
    <col min="2" max="2" width="21.5546875" customWidth="1"/>
    <col min="3" max="3" width="25.33203125" customWidth="1"/>
    <col min="4" max="4" width="24.77734375" customWidth="1"/>
    <col min="5" max="5" width="28.5546875" customWidth="1"/>
    <col min="6" max="6" width="17.6640625" customWidth="1"/>
    <col min="8" max="8" width="15.77734375" customWidth="1"/>
    <col min="9" max="9" width="11.88671875" customWidth="1"/>
    <col min="10" max="10" width="14.44140625" customWidth="1"/>
  </cols>
  <sheetData>
    <row r="1" spans="1:22" ht="23.4">
      <c r="A1" s="2" t="s">
        <v>0</v>
      </c>
      <c r="B1" s="2"/>
    </row>
    <row r="3" spans="1:22" ht="18">
      <c r="A3" s="3" t="s">
        <v>1</v>
      </c>
      <c r="B3" s="3"/>
    </row>
    <row r="5" spans="1:22" ht="37.799999999999997" customHeight="1">
      <c r="A5" s="80" t="s">
        <v>2</v>
      </c>
      <c r="B5" s="80"/>
      <c r="C5" s="80"/>
      <c r="D5" s="80"/>
      <c r="E5" s="80"/>
      <c r="F5" s="80"/>
      <c r="G5" s="80"/>
      <c r="H5" s="80"/>
      <c r="I5" s="80"/>
      <c r="J5" s="80"/>
      <c r="K5" s="37"/>
      <c r="L5" s="37"/>
      <c r="M5" s="37"/>
      <c r="N5" s="37"/>
      <c r="O5" s="37"/>
      <c r="P5" s="37"/>
      <c r="Q5" s="37"/>
      <c r="R5" s="37"/>
      <c r="S5" s="37"/>
      <c r="T5" s="37"/>
      <c r="U5" s="37"/>
      <c r="V5" s="37"/>
    </row>
    <row r="7" spans="1:22" ht="18">
      <c r="A7" s="3" t="s">
        <v>3</v>
      </c>
      <c r="B7" s="3"/>
    </row>
    <row r="9" spans="1:22">
      <c r="A9" t="s">
        <v>4</v>
      </c>
    </row>
    <row r="11" spans="1:22">
      <c r="A11" s="5" t="s">
        <v>5</v>
      </c>
      <c r="B11" s="5" t="s">
        <v>5</v>
      </c>
      <c r="C11" s="5" t="s">
        <v>6</v>
      </c>
      <c r="D11" s="5" t="s">
        <v>6</v>
      </c>
      <c r="E11" s="5" t="s">
        <v>7</v>
      </c>
      <c r="F11" s="44" t="s">
        <v>77</v>
      </c>
      <c r="G11" s="44" t="s">
        <v>81</v>
      </c>
      <c r="H11" s="44" t="s">
        <v>85</v>
      </c>
      <c r="I11" s="5" t="s">
        <v>89</v>
      </c>
      <c r="J11" s="5" t="s">
        <v>93</v>
      </c>
    </row>
    <row r="12" spans="1:22">
      <c r="A12" s="4" t="s">
        <v>8</v>
      </c>
      <c r="B12" s="4" t="str">
        <f>PROPER(A12)</f>
        <v>John Doe</v>
      </c>
      <c r="C12" s="4" t="s">
        <v>9</v>
      </c>
      <c r="D12" s="4" t="str">
        <f>LOWER(C12)</f>
        <v>john.doe@example.com</v>
      </c>
      <c r="E12" s="4" t="s">
        <v>10</v>
      </c>
      <c r="F12" s="45" t="str">
        <f>LEFT(A12,FIND(" ",A12)-1)</f>
        <v>john</v>
      </c>
      <c r="G12" s="45" t="str">
        <f>RIGHT(A12,LEN(A12)-FIND(" ",A12))</f>
        <v>doe</v>
      </c>
      <c r="H12" s="45" t="str">
        <f>MID(C12,FIND("@",C12)+1,LEN(C12)-FIND("@",C12))</f>
        <v>example.com</v>
      </c>
      <c r="I12" s="16" t="str">
        <f>IFERROR(SEARCH("good",E12),"Not Persent")</f>
        <v>Not Persent</v>
      </c>
      <c r="J12" s="16" t="str">
        <f>MID(E12,1,9)</f>
        <v>great pro</v>
      </c>
      <c r="K12">
        <f>LEN(E12)</f>
        <v>14</v>
      </c>
    </row>
    <row r="13" spans="1:22">
      <c r="A13" s="4" t="s">
        <v>11</v>
      </c>
      <c r="B13" s="4" t="str">
        <f t="shared" ref="B13:B15" si="0">PROPER(A13)</f>
        <v>Mary Jane</v>
      </c>
      <c r="C13" s="4" t="s">
        <v>12</v>
      </c>
      <c r="D13" s="4" t="str">
        <f t="shared" ref="D13:D15" si="1">LOWER(C13)</f>
        <v>mary.jane@example.com</v>
      </c>
      <c r="E13" s="4" t="s">
        <v>13</v>
      </c>
      <c r="F13" s="45" t="str">
        <f t="shared" ref="F13:F15" si="2">LEFT(A13,FIND(" ",A13)-1)</f>
        <v>MARY</v>
      </c>
      <c r="G13" s="45" t="str">
        <f t="shared" ref="G13:G15" si="3">RIGHT(A13,LEN(A13)-FIND(" ",A13))</f>
        <v>JANE</v>
      </c>
      <c r="H13" s="45" t="str">
        <f>MID(C13,FIND("@",C13)+1,LEN(C13)-FIND("@",C13))</f>
        <v>example.com</v>
      </c>
      <c r="I13" s="16">
        <f t="shared" ref="I13:I15" si="4">IFERROR(SEARCH("good",E13),"not present")</f>
        <v>23</v>
      </c>
      <c r="J13" s="16" t="str">
        <f t="shared" ref="J13:J15" si="5">MID(E13,1,9)</f>
        <v>Arrived o</v>
      </c>
    </row>
    <row r="14" spans="1:22">
      <c r="A14" s="4" t="s">
        <v>14</v>
      </c>
      <c r="B14" s="4" t="str">
        <f t="shared" si="0"/>
        <v>Alice Smith</v>
      </c>
      <c r="C14" s="4" t="s">
        <v>15</v>
      </c>
      <c r="D14" s="4" t="str">
        <f t="shared" si="1"/>
        <v>alice_smith@example.net</v>
      </c>
      <c r="E14" s="4" t="s">
        <v>16</v>
      </c>
      <c r="F14" s="45" t="str">
        <f t="shared" si="2"/>
        <v>alice</v>
      </c>
      <c r="G14" s="45" t="str">
        <f t="shared" si="3"/>
        <v>smith</v>
      </c>
      <c r="H14" s="45" t="str">
        <f>MID(C14,FIND("@",C14)+1,LEN(C14)-FIND("@",C14))</f>
        <v>example.net</v>
      </c>
      <c r="I14" s="16" t="str">
        <f t="shared" si="4"/>
        <v>not present</v>
      </c>
      <c r="J14" s="16" t="str">
        <f t="shared" si="5"/>
        <v xml:space="preserve">will buy </v>
      </c>
    </row>
    <row r="15" spans="1:22" ht="57.6" customHeight="1">
      <c r="A15" s="4" t="s">
        <v>17</v>
      </c>
      <c r="B15" s="4" t="str">
        <f t="shared" si="0"/>
        <v>Robert Brown</v>
      </c>
      <c r="C15" s="4" t="s">
        <v>18</v>
      </c>
      <c r="D15" s="4" t="str">
        <f t="shared" si="1"/>
        <v>robert_brown@example.org</v>
      </c>
      <c r="E15" s="4" t="s">
        <v>19</v>
      </c>
      <c r="F15" s="45" t="str">
        <f t="shared" si="2"/>
        <v>rOBERT</v>
      </c>
      <c r="G15" s="45" t="str">
        <f t="shared" si="3"/>
        <v>bROWN</v>
      </c>
      <c r="H15" s="45" t="str">
        <f t="shared" ref="H15" si="6">MID(C15,FIND("@",C15)+1,LEN(C15)-FIND("@",C15))</f>
        <v>example.org</v>
      </c>
      <c r="I15" s="16" t="str">
        <f t="shared" si="4"/>
        <v>not present</v>
      </c>
      <c r="J15" s="16" t="str">
        <f t="shared" si="5"/>
        <v>not satis</v>
      </c>
    </row>
    <row r="17" spans="1:10">
      <c r="A17" s="84" t="s">
        <v>20</v>
      </c>
      <c r="B17" s="84"/>
      <c r="C17" s="84"/>
      <c r="D17" s="84"/>
      <c r="E17" s="84"/>
      <c r="F17" s="84"/>
      <c r="G17" s="84"/>
      <c r="H17" s="84"/>
      <c r="I17" s="84"/>
      <c r="J17" s="84"/>
    </row>
    <row r="18" spans="1:10">
      <c r="A18" s="7"/>
      <c r="B18" s="7"/>
    </row>
    <row r="19" spans="1:10">
      <c r="A19" s="8" t="s">
        <v>21</v>
      </c>
      <c r="B19" s="8"/>
    </row>
    <row r="20" spans="1:10">
      <c r="A20" s="8" t="s">
        <v>22</v>
      </c>
      <c r="B20" s="8"/>
    </row>
    <row r="22" spans="1:10">
      <c r="A22" s="84" t="s">
        <v>23</v>
      </c>
      <c r="B22" s="84"/>
      <c r="C22" s="84"/>
      <c r="D22" s="84"/>
      <c r="E22" s="84"/>
      <c r="F22" s="84"/>
      <c r="G22" s="84"/>
      <c r="H22" s="84"/>
      <c r="I22" s="84"/>
      <c r="J22" s="84"/>
    </row>
    <row r="23" spans="1:10">
      <c r="A23" s="7"/>
      <c r="B23" s="7"/>
    </row>
    <row r="24" spans="1:10">
      <c r="A24" s="8" t="s">
        <v>24</v>
      </c>
      <c r="B24" s="8"/>
    </row>
    <row r="25" spans="1:10">
      <c r="A25" s="8" t="s">
        <v>25</v>
      </c>
      <c r="B25" s="8"/>
    </row>
    <row r="27" spans="1:10">
      <c r="A27" s="84" t="s">
        <v>26</v>
      </c>
      <c r="B27" s="84"/>
      <c r="C27" s="84"/>
      <c r="D27" s="84"/>
      <c r="E27" s="84"/>
      <c r="F27" s="84"/>
      <c r="G27" s="84"/>
      <c r="H27" s="84"/>
      <c r="I27" s="84"/>
      <c r="J27" s="84"/>
    </row>
    <row r="28" spans="1:10">
      <c r="A28" s="7"/>
      <c r="B28" s="7"/>
    </row>
    <row r="29" spans="1:10">
      <c r="A29" s="8" t="s">
        <v>27</v>
      </c>
      <c r="B29" s="8"/>
    </row>
    <row r="30" spans="1:10">
      <c r="A30" s="8" t="s">
        <v>28</v>
      </c>
      <c r="B30" s="8"/>
    </row>
    <row r="32" spans="1:10">
      <c r="A32" s="84" t="s">
        <v>74</v>
      </c>
      <c r="B32" s="84"/>
      <c r="C32" s="84"/>
      <c r="D32" s="84"/>
      <c r="E32" s="84"/>
      <c r="F32" s="84"/>
      <c r="G32" s="84"/>
      <c r="H32" s="84"/>
      <c r="I32" s="84"/>
      <c r="J32" s="84"/>
    </row>
    <row r="33" spans="1:10">
      <c r="A33" s="7"/>
      <c r="B33" s="7"/>
    </row>
    <row r="34" spans="1:10">
      <c r="A34" s="8" t="s">
        <v>75</v>
      </c>
      <c r="B34" s="8"/>
    </row>
    <row r="35" spans="1:10">
      <c r="A35" s="8" t="s">
        <v>76</v>
      </c>
      <c r="B35" s="8"/>
    </row>
    <row r="37" spans="1:10">
      <c r="A37" s="84" t="s">
        <v>78</v>
      </c>
      <c r="B37" s="84"/>
      <c r="C37" s="84"/>
      <c r="D37" s="84"/>
      <c r="E37" s="84"/>
      <c r="F37" s="84"/>
      <c r="G37" s="84"/>
      <c r="H37" s="84"/>
      <c r="I37" s="84"/>
      <c r="J37" s="84"/>
    </row>
    <row r="38" spans="1:10">
      <c r="A38" s="7"/>
      <c r="B38" s="7"/>
    </row>
    <row r="39" spans="1:10">
      <c r="A39" s="8" t="s">
        <v>79</v>
      </c>
      <c r="B39" s="8"/>
    </row>
    <row r="40" spans="1:10">
      <c r="A40" s="8" t="s">
        <v>80</v>
      </c>
      <c r="B40" s="8"/>
    </row>
    <row r="42" spans="1:10">
      <c r="A42" s="84" t="s">
        <v>82</v>
      </c>
      <c r="B42" s="84"/>
      <c r="C42" s="84"/>
      <c r="D42" s="84"/>
      <c r="E42" s="84"/>
      <c r="F42" s="84"/>
      <c r="G42" s="84"/>
      <c r="H42" s="84"/>
      <c r="I42" s="84"/>
      <c r="J42" s="84"/>
    </row>
    <row r="43" spans="1:10">
      <c r="A43" s="7"/>
      <c r="B43" s="7"/>
    </row>
    <row r="44" spans="1:10">
      <c r="A44" s="8" t="s">
        <v>83</v>
      </c>
      <c r="B44" s="8"/>
    </row>
    <row r="45" spans="1:10">
      <c r="A45" s="8" t="s">
        <v>84</v>
      </c>
      <c r="B45" s="8"/>
    </row>
    <row r="47" spans="1:10">
      <c r="A47" s="84" t="s">
        <v>86</v>
      </c>
      <c r="B47" s="84"/>
      <c r="C47" s="84"/>
      <c r="D47" s="84"/>
      <c r="E47" s="84"/>
      <c r="F47" s="84"/>
      <c r="G47" s="84"/>
      <c r="H47" s="84"/>
      <c r="I47" s="84"/>
      <c r="J47" s="84"/>
    </row>
    <row r="48" spans="1:10">
      <c r="A48" s="7"/>
      <c r="B48" s="7"/>
    </row>
    <row r="49" spans="1:10">
      <c r="A49" s="8" t="s">
        <v>87</v>
      </c>
      <c r="B49" s="8"/>
    </row>
    <row r="50" spans="1:10">
      <c r="A50" s="8" t="s">
        <v>88</v>
      </c>
      <c r="B50" s="8"/>
    </row>
    <row r="52" spans="1:10">
      <c r="A52" s="84" t="s">
        <v>90</v>
      </c>
      <c r="B52" s="84"/>
      <c r="C52" s="84"/>
      <c r="D52" s="84"/>
      <c r="E52" s="84"/>
      <c r="F52" s="84"/>
      <c r="G52" s="84"/>
      <c r="H52" s="84"/>
      <c r="I52" s="84"/>
      <c r="J52" s="84"/>
    </row>
    <row r="53" spans="1:10">
      <c r="A53" s="7"/>
      <c r="B53" s="7"/>
    </row>
    <row r="54" spans="1:10">
      <c r="A54" s="8" t="s">
        <v>91</v>
      </c>
      <c r="B54" s="8"/>
    </row>
    <row r="55" spans="1:10">
      <c r="A55" s="8" t="s">
        <v>92</v>
      </c>
      <c r="B55" s="8"/>
    </row>
    <row r="57" spans="1:10">
      <c r="A57" s="6"/>
      <c r="B57" s="6"/>
    </row>
    <row r="58" spans="1:10">
      <c r="A58" s="1"/>
      <c r="B58" s="1"/>
    </row>
    <row r="59" spans="1:10">
      <c r="A59" s="15"/>
      <c r="B59" s="15"/>
    </row>
    <row r="60" spans="1:10">
      <c r="A60" s="15"/>
      <c r="B60" s="15"/>
    </row>
    <row r="61" spans="1:10">
      <c r="A61" s="15"/>
      <c r="B61" s="15"/>
    </row>
  </sheetData>
  <mergeCells count="9">
    <mergeCell ref="A5:J5"/>
    <mergeCell ref="A42:J42"/>
    <mergeCell ref="A47:J47"/>
    <mergeCell ref="A52:J52"/>
    <mergeCell ref="A17:J17"/>
    <mergeCell ref="A22:J22"/>
    <mergeCell ref="A27:J27"/>
    <mergeCell ref="A32:J32"/>
    <mergeCell ref="A37:J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3D2C-D38C-45D7-9D9E-68BBAD24EE32}">
  <dimension ref="A1:H15"/>
  <sheetViews>
    <sheetView zoomScale="130" zoomScaleNormal="130" workbookViewId="0">
      <selection activeCell="C12" sqref="C12"/>
    </sheetView>
  </sheetViews>
  <sheetFormatPr defaultRowHeight="14.4"/>
  <cols>
    <col min="1" max="1" width="14.6640625" bestFit="1" customWidth="1"/>
    <col min="2" max="2" width="24.5546875" bestFit="1" customWidth="1"/>
    <col min="3" max="3" width="23.21875" bestFit="1" customWidth="1"/>
    <col min="4" max="4" width="13" customWidth="1"/>
    <col min="5" max="5" width="13.5546875" customWidth="1"/>
  </cols>
  <sheetData>
    <row r="1" spans="1:8">
      <c r="A1" s="5" t="s">
        <v>5</v>
      </c>
      <c r="B1" s="5" t="s">
        <v>6</v>
      </c>
      <c r="C1" s="5" t="s">
        <v>7</v>
      </c>
      <c r="D1" s="43" t="s">
        <v>237</v>
      </c>
      <c r="E1" s="43" t="s">
        <v>183</v>
      </c>
    </row>
    <row r="2" spans="1:8">
      <c r="A2" s="4" t="s">
        <v>8</v>
      </c>
      <c r="B2" s="4" t="s">
        <v>9</v>
      </c>
      <c r="C2" s="4" t="s">
        <v>10</v>
      </c>
      <c r="D2" t="str">
        <f>PROPER(A2)</f>
        <v>John Doe</v>
      </c>
      <c r="E2" t="str">
        <f>LEFT(A2,4)</f>
        <v>john</v>
      </c>
    </row>
    <row r="3" spans="1:8">
      <c r="A3" s="4" t="s">
        <v>11</v>
      </c>
      <c r="B3" s="4" t="s">
        <v>12</v>
      </c>
      <c r="C3" s="4" t="s">
        <v>13</v>
      </c>
      <c r="D3" t="str">
        <f t="shared" ref="D3:D5" si="0">PROPER(A3)</f>
        <v>Mary Jane</v>
      </c>
      <c r="E3" t="str">
        <f t="shared" ref="E3:E5" si="1">LEFT(A3,4)</f>
        <v>MARY</v>
      </c>
    </row>
    <row r="4" spans="1:8">
      <c r="A4" s="4" t="s">
        <v>14</v>
      </c>
      <c r="B4" s="4" t="s">
        <v>15</v>
      </c>
      <c r="C4" s="4" t="s">
        <v>16</v>
      </c>
      <c r="D4" t="str">
        <f t="shared" si="0"/>
        <v>Alice Smith</v>
      </c>
      <c r="E4" t="str">
        <f t="shared" si="1"/>
        <v>alic</v>
      </c>
    </row>
    <row r="5" spans="1:8">
      <c r="A5" s="4" t="s">
        <v>17</v>
      </c>
      <c r="B5" s="4" t="s">
        <v>18</v>
      </c>
      <c r="C5" s="4" t="s">
        <v>19</v>
      </c>
      <c r="D5" t="str">
        <f t="shared" si="0"/>
        <v>Robert Brown</v>
      </c>
      <c r="E5" t="str">
        <f t="shared" si="1"/>
        <v>rOBE</v>
      </c>
    </row>
    <row r="8" spans="1:8">
      <c r="A8" s="5" t="s">
        <v>5</v>
      </c>
      <c r="B8" s="52" t="s">
        <v>203</v>
      </c>
    </row>
    <row r="9" spans="1:8">
      <c r="A9" s="4" t="s">
        <v>8</v>
      </c>
      <c r="B9">
        <f>FIND(" ",A9)</f>
        <v>5</v>
      </c>
      <c r="C9" t="str">
        <f>LEFT(A9,FIND(" ",A9)-1)</f>
        <v>john</v>
      </c>
    </row>
    <row r="10" spans="1:8">
      <c r="A10" s="4" t="s">
        <v>11</v>
      </c>
      <c r="B10">
        <f t="shared" ref="B10:B12" si="2">FIND(" ",A10)</f>
        <v>5</v>
      </c>
      <c r="C10" t="str">
        <f t="shared" ref="C10:C12" si="3">LEFT(A10,FIND(" ",A10)-1)</f>
        <v>MARY</v>
      </c>
    </row>
    <row r="11" spans="1:8">
      <c r="A11" s="4" t="s">
        <v>14</v>
      </c>
      <c r="B11">
        <f t="shared" si="2"/>
        <v>6</v>
      </c>
      <c r="C11" t="str">
        <f t="shared" si="3"/>
        <v>alice</v>
      </c>
    </row>
    <row r="12" spans="1:8">
      <c r="A12" s="4" t="s">
        <v>17</v>
      </c>
      <c r="B12">
        <f t="shared" si="2"/>
        <v>7</v>
      </c>
      <c r="C12" t="str">
        <f t="shared" si="3"/>
        <v>rOBERT</v>
      </c>
    </row>
    <row r="15" spans="1:8">
      <c r="A15" s="52" t="s">
        <v>238</v>
      </c>
      <c r="B15" t="s">
        <v>239</v>
      </c>
      <c r="C15" t="s">
        <v>240</v>
      </c>
      <c r="D15" t="s">
        <v>241</v>
      </c>
      <c r="E15" t="s">
        <v>242</v>
      </c>
      <c r="F15" t="s">
        <v>243</v>
      </c>
      <c r="G15" t="s">
        <v>239</v>
      </c>
      <c r="H15" t="s">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9490-5AA8-460B-A58C-394425C6A626}">
  <dimension ref="A1:H41"/>
  <sheetViews>
    <sheetView topLeftCell="A31" zoomScale="190" zoomScaleNormal="190" workbookViewId="0">
      <selection activeCell="A16" sqref="A16:H16"/>
    </sheetView>
  </sheetViews>
  <sheetFormatPr defaultRowHeight="14.4"/>
  <sheetData>
    <row r="1" spans="1:8">
      <c r="A1" s="84" t="s">
        <v>20</v>
      </c>
      <c r="B1" s="84"/>
      <c r="C1" s="84"/>
      <c r="D1" s="84"/>
      <c r="E1" s="84"/>
      <c r="F1" s="84"/>
      <c r="G1" s="84"/>
      <c r="H1" s="84"/>
    </row>
    <row r="2" spans="1:8">
      <c r="A2" s="7"/>
    </row>
    <row r="3" spans="1:8">
      <c r="A3" s="8" t="s">
        <v>21</v>
      </c>
    </row>
    <row r="4" spans="1:8">
      <c r="A4" s="8" t="s">
        <v>22</v>
      </c>
    </row>
    <row r="6" spans="1:8">
      <c r="A6" s="84" t="s">
        <v>23</v>
      </c>
      <c r="B6" s="84"/>
      <c r="C6" s="84"/>
      <c r="D6" s="84"/>
      <c r="E6" s="84"/>
      <c r="F6" s="84"/>
      <c r="G6" s="84"/>
      <c r="H6" s="84"/>
    </row>
    <row r="7" spans="1:8">
      <c r="A7" s="7"/>
    </row>
    <row r="8" spans="1:8">
      <c r="A8" s="8" t="s">
        <v>24</v>
      </c>
    </row>
    <row r="9" spans="1:8">
      <c r="A9" s="8" t="s">
        <v>25</v>
      </c>
    </row>
    <row r="11" spans="1:8">
      <c r="A11" s="84" t="s">
        <v>26</v>
      </c>
      <c r="B11" s="84"/>
      <c r="C11" s="84"/>
      <c r="D11" s="84"/>
      <c r="E11" s="84"/>
      <c r="F11" s="84"/>
      <c r="G11" s="84"/>
      <c r="H11" s="84"/>
    </row>
    <row r="12" spans="1:8">
      <c r="A12" s="7"/>
    </row>
    <row r="13" spans="1:8">
      <c r="A13" s="8" t="s">
        <v>27</v>
      </c>
    </row>
    <row r="14" spans="1:8">
      <c r="A14" s="8" t="s">
        <v>28</v>
      </c>
    </row>
    <row r="16" spans="1:8">
      <c r="A16" s="84" t="s">
        <v>74</v>
      </c>
      <c r="B16" s="84"/>
      <c r="C16" s="84"/>
      <c r="D16" s="84"/>
      <c r="E16" s="84"/>
      <c r="F16" s="84"/>
      <c r="G16" s="84"/>
      <c r="H16" s="84"/>
    </row>
    <row r="17" spans="1:8">
      <c r="A17" s="7"/>
    </row>
    <row r="18" spans="1:8">
      <c r="A18" s="8" t="s">
        <v>75</v>
      </c>
    </row>
    <row r="19" spans="1:8">
      <c r="A19" s="8" t="s">
        <v>76</v>
      </c>
    </row>
    <row r="21" spans="1:8">
      <c r="A21" s="84" t="s">
        <v>78</v>
      </c>
      <c r="B21" s="84"/>
      <c r="C21" s="84"/>
      <c r="D21" s="84"/>
      <c r="E21" s="84"/>
      <c r="F21" s="84"/>
      <c r="G21" s="84"/>
      <c r="H21" s="84"/>
    </row>
    <row r="22" spans="1:8">
      <c r="A22" s="7"/>
    </row>
    <row r="23" spans="1:8">
      <c r="A23" s="8" t="s">
        <v>79</v>
      </c>
    </row>
    <row r="24" spans="1:8">
      <c r="A24" s="8" t="s">
        <v>80</v>
      </c>
    </row>
    <row r="26" spans="1:8">
      <c r="A26" s="84" t="s">
        <v>82</v>
      </c>
      <c r="B26" s="84"/>
      <c r="C26" s="84"/>
      <c r="D26" s="84"/>
      <c r="E26" s="84"/>
      <c r="F26" s="84"/>
      <c r="G26" s="84"/>
      <c r="H26" s="84"/>
    </row>
    <row r="27" spans="1:8">
      <c r="A27" s="7"/>
    </row>
    <row r="28" spans="1:8">
      <c r="A28" s="8" t="s">
        <v>83</v>
      </c>
    </row>
    <row r="29" spans="1:8">
      <c r="A29" s="8" t="s">
        <v>84</v>
      </c>
    </row>
    <row r="31" spans="1:8">
      <c r="A31" s="84" t="s">
        <v>86</v>
      </c>
      <c r="B31" s="84"/>
      <c r="C31" s="84"/>
      <c r="D31" s="84"/>
      <c r="E31" s="84"/>
      <c r="F31" s="84"/>
      <c r="G31" s="84"/>
      <c r="H31" s="84"/>
    </row>
    <row r="32" spans="1:8">
      <c r="A32" s="7"/>
    </row>
    <row r="33" spans="1:8">
      <c r="A33" s="8" t="s">
        <v>87</v>
      </c>
    </row>
    <row r="34" spans="1:8">
      <c r="A34" s="8" t="s">
        <v>88</v>
      </c>
    </row>
    <row r="36" spans="1:8">
      <c r="A36" s="84" t="s">
        <v>90</v>
      </c>
      <c r="B36" s="84"/>
      <c r="C36" s="84"/>
      <c r="D36" s="84"/>
      <c r="E36" s="84"/>
      <c r="F36" s="84"/>
      <c r="G36" s="84"/>
      <c r="H36" s="84"/>
    </row>
    <row r="37" spans="1:8">
      <c r="A37" s="7"/>
    </row>
    <row r="38" spans="1:8">
      <c r="A38" s="8" t="s">
        <v>91</v>
      </c>
    </row>
    <row r="39" spans="1:8">
      <c r="A39" s="8" t="s">
        <v>92</v>
      </c>
    </row>
    <row r="41" spans="1:8">
      <c r="A41" s="6"/>
    </row>
  </sheetData>
  <mergeCells count="8">
    <mergeCell ref="A31:H31"/>
    <mergeCell ref="A36:H36"/>
    <mergeCell ref="A1:H1"/>
    <mergeCell ref="A6:H6"/>
    <mergeCell ref="A11:H11"/>
    <mergeCell ref="A16:H16"/>
    <mergeCell ref="A21:H21"/>
    <mergeCell ref="A26:H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47C2E-E14C-4D05-8546-0846CD09BA84}">
  <dimension ref="A1:H27"/>
  <sheetViews>
    <sheetView zoomScale="136" zoomScaleNormal="250" workbookViewId="0">
      <selection activeCell="D7" sqref="D7"/>
    </sheetView>
  </sheetViews>
  <sheetFormatPr defaultRowHeight="14.4"/>
  <cols>
    <col min="1" max="1" width="10.77734375" bestFit="1" customWidth="1"/>
    <col min="2" max="2" width="16.6640625" customWidth="1"/>
    <col min="3" max="4" width="10.77734375" bestFit="1" customWidth="1"/>
    <col min="8" max="8" width="10.77734375" bestFit="1" customWidth="1"/>
  </cols>
  <sheetData>
    <row r="1" spans="1:8">
      <c r="A1" t="s">
        <v>191</v>
      </c>
      <c r="B1" s="32">
        <f ca="1">TODAY()</f>
        <v>45790</v>
      </c>
      <c r="E1" s="16" t="s">
        <v>193</v>
      </c>
      <c r="F1" s="16" t="s">
        <v>175</v>
      </c>
      <c r="G1" s="16" t="s">
        <v>194</v>
      </c>
      <c r="H1" t="s">
        <v>176</v>
      </c>
    </row>
    <row r="2" spans="1:8">
      <c r="A2" t="s">
        <v>192</v>
      </c>
      <c r="B2" s="41">
        <f ca="1">NOW()</f>
        <v>45790.445373263887</v>
      </c>
      <c r="E2" s="16">
        <v>25</v>
      </c>
      <c r="F2" s="16">
        <v>1</v>
      </c>
      <c r="G2" s="16">
        <v>2023</v>
      </c>
      <c r="H2" s="42">
        <f>DATE(G2,F2,E2)</f>
        <v>44951</v>
      </c>
    </row>
    <row r="3" spans="1:8">
      <c r="E3" s="16">
        <v>26</v>
      </c>
      <c r="F3" s="16">
        <v>2</v>
      </c>
      <c r="G3" s="16">
        <v>2024</v>
      </c>
      <c r="H3" s="42">
        <f t="shared" ref="H3:H5" si="0">DATE(G3,F3,E3)</f>
        <v>45348</v>
      </c>
    </row>
    <row r="4" spans="1:8">
      <c r="A4" t="s">
        <v>193</v>
      </c>
      <c r="B4">
        <f ca="1">DAY(B1)</f>
        <v>13</v>
      </c>
      <c r="E4" s="16">
        <v>27</v>
      </c>
      <c r="F4" s="16">
        <v>3</v>
      </c>
      <c r="G4" s="16">
        <v>2025</v>
      </c>
      <c r="H4" s="42">
        <f t="shared" si="0"/>
        <v>45743</v>
      </c>
    </row>
    <row r="5" spans="1:8">
      <c r="A5" t="s">
        <v>175</v>
      </c>
      <c r="B5">
        <f ca="1">MONTH(B1)</f>
        <v>5</v>
      </c>
      <c r="E5" s="16">
        <v>28</v>
      </c>
      <c r="F5" s="16">
        <v>4</v>
      </c>
      <c r="G5" s="16">
        <v>2026</v>
      </c>
      <c r="H5" s="42">
        <f t="shared" si="0"/>
        <v>46140</v>
      </c>
    </row>
    <row r="6" spans="1:8">
      <c r="A6" t="s">
        <v>194</v>
      </c>
      <c r="B6">
        <f ca="1">YEAR(B1)</f>
        <v>2025</v>
      </c>
    </row>
    <row r="7" spans="1:8">
      <c r="A7" t="s">
        <v>176</v>
      </c>
      <c r="B7" s="42">
        <f ca="1">DATE(B6,B5,B4)</f>
        <v>45790</v>
      </c>
    </row>
    <row r="9" spans="1:8">
      <c r="A9" s="40" t="s">
        <v>177</v>
      </c>
      <c r="D9" s="40" t="s">
        <v>198</v>
      </c>
    </row>
    <row r="11" spans="1:8">
      <c r="A11" t="s">
        <v>196</v>
      </c>
      <c r="B11" s="32">
        <v>36817</v>
      </c>
    </row>
    <row r="12" spans="1:8">
      <c r="A12" t="s">
        <v>197</v>
      </c>
      <c r="B12" s="32">
        <v>45585</v>
      </c>
    </row>
    <row r="14" spans="1:8">
      <c r="B14">
        <f>YEARFRAC(B11,B12)</f>
        <v>24.005555555555556</v>
      </c>
      <c r="D14">
        <f>DATEDIF(B11,B12,"d")</f>
        <v>8768</v>
      </c>
      <c r="E14" t="s">
        <v>199</v>
      </c>
    </row>
    <row r="15" spans="1:8">
      <c r="D15">
        <f>DATEDIF(B11,B12,"m")</f>
        <v>288</v>
      </c>
      <c r="E15" t="s">
        <v>175</v>
      </c>
    </row>
    <row r="16" spans="1:8">
      <c r="D16">
        <f>DATEDIF(B11,B12,"y")</f>
        <v>24</v>
      </c>
      <c r="E16" t="s">
        <v>129</v>
      </c>
    </row>
    <row r="18" spans="1:4">
      <c r="A18" s="40" t="s">
        <v>200</v>
      </c>
    </row>
    <row r="19" spans="1:4">
      <c r="B19" t="s">
        <v>201</v>
      </c>
      <c r="C19" t="s">
        <v>202</v>
      </c>
    </row>
    <row r="20" spans="1:4">
      <c r="A20" s="42">
        <v>45292</v>
      </c>
      <c r="B20" s="32">
        <f>EOMONTH(A20,0)</f>
        <v>45322</v>
      </c>
      <c r="C20" s="32">
        <f>EOMONTH(A20,1)</f>
        <v>45351</v>
      </c>
      <c r="D20" s="32">
        <f>EOMONTH(A20,3)</f>
        <v>45412</v>
      </c>
    </row>
    <row r="21" spans="1:4">
      <c r="A21" s="32">
        <v>45324</v>
      </c>
      <c r="B21" s="32">
        <f t="shared" ref="B21:B22" si="1">EOMONTH(A21,0)</f>
        <v>45351</v>
      </c>
      <c r="C21" s="32">
        <f t="shared" ref="C21:C22" si="2">EOMONTH(A21,1)</f>
        <v>45382</v>
      </c>
      <c r="D21" s="32">
        <f t="shared" ref="D21:D22" si="3">EOMONTH(A21,3)</f>
        <v>45443</v>
      </c>
    </row>
    <row r="22" spans="1:4">
      <c r="A22" s="32">
        <v>45354</v>
      </c>
      <c r="B22" s="32">
        <f t="shared" si="1"/>
        <v>45382</v>
      </c>
      <c r="C22" s="32">
        <f t="shared" si="2"/>
        <v>45412</v>
      </c>
      <c r="D22" s="32">
        <f t="shared" si="3"/>
        <v>45473</v>
      </c>
    </row>
    <row r="24" spans="1:4">
      <c r="A24" s="32">
        <f ca="1">TODAY()</f>
        <v>45790</v>
      </c>
      <c r="B24" s="40" t="str">
        <f ca="1">TEXT(A24,"dddd")</f>
        <v>Tuesday</v>
      </c>
      <c r="C24" t="str">
        <f ca="1">TEXT(A24,"mmmm")</f>
        <v>May</v>
      </c>
    </row>
    <row r="25" spans="1:4">
      <c r="B25" s="40" t="str">
        <f ca="1">TEXT(A24,"ddd")</f>
        <v>Tue</v>
      </c>
      <c r="C25" t="str">
        <f>TEXT(A25,"mmm")</f>
        <v>Jan</v>
      </c>
    </row>
    <row r="26" spans="1:4">
      <c r="B26" s="40" t="str">
        <f ca="1">TEXT(A24,"dd")</f>
        <v>13</v>
      </c>
      <c r="C26" t="str">
        <f>TEXT(A26,"mm")</f>
        <v>01</v>
      </c>
    </row>
    <row r="27" spans="1:4">
      <c r="B27" s="40" t="str">
        <f ca="1">TEXT(A24,"d")</f>
        <v>13</v>
      </c>
      <c r="C27" t="str">
        <f>TEXT(A27,"m")</f>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18A1-C0DC-4FD0-AB7D-113A0428DE25}">
  <dimension ref="A1:H22"/>
  <sheetViews>
    <sheetView zoomScale="175" zoomScaleNormal="175" workbookViewId="0">
      <selection activeCell="F19" sqref="F19"/>
    </sheetView>
  </sheetViews>
  <sheetFormatPr defaultRowHeight="14.4"/>
  <cols>
    <col min="1" max="1" width="10.33203125" bestFit="1" customWidth="1"/>
    <col min="2" max="2" width="15.33203125" customWidth="1"/>
    <col min="3" max="3" width="27.44140625" customWidth="1"/>
    <col min="4" max="4" width="10.33203125" bestFit="1" customWidth="1"/>
  </cols>
  <sheetData>
    <row r="1" spans="1:4">
      <c r="A1" s="32">
        <f ca="1">TODAY()</f>
        <v>45790</v>
      </c>
      <c r="C1" s="41">
        <f ca="1">NOW()</f>
        <v>45790.445373263887</v>
      </c>
    </row>
    <row r="3" spans="1:4">
      <c r="A3" t="s">
        <v>128</v>
      </c>
      <c r="B3">
        <f ca="1">DAY(A1)</f>
        <v>13</v>
      </c>
    </row>
    <row r="4" spans="1:4">
      <c r="A4" t="s">
        <v>204</v>
      </c>
      <c r="B4">
        <f ca="1">MONTH(A1)</f>
        <v>5</v>
      </c>
    </row>
    <row r="5" spans="1:4">
      <c r="A5" t="s">
        <v>129</v>
      </c>
      <c r="B5">
        <f ca="1">YEAR(A1)</f>
        <v>2025</v>
      </c>
    </row>
    <row r="8" spans="1:4">
      <c r="A8" s="45" t="s">
        <v>128</v>
      </c>
      <c r="B8" s="45" t="s">
        <v>204</v>
      </c>
      <c r="C8" s="45" t="s">
        <v>129</v>
      </c>
      <c r="D8" s="45" t="s">
        <v>176</v>
      </c>
    </row>
    <row r="9" spans="1:4">
      <c r="A9" s="16">
        <v>1</v>
      </c>
      <c r="B9" s="16">
        <v>9</v>
      </c>
      <c r="C9" s="16">
        <v>2024</v>
      </c>
      <c r="D9" s="46">
        <f>DATE(C9,B9,A9)</f>
        <v>45536</v>
      </c>
    </row>
    <row r="10" spans="1:4">
      <c r="A10" s="16">
        <v>2</v>
      </c>
      <c r="B10" s="16">
        <v>9</v>
      </c>
      <c r="C10" s="16">
        <v>2024</v>
      </c>
      <c r="D10" s="46">
        <f t="shared" ref="D10:D13" si="0">DATE(C10,B10,A10)</f>
        <v>45537</v>
      </c>
    </row>
    <row r="11" spans="1:4">
      <c r="A11" s="16">
        <v>3</v>
      </c>
      <c r="B11" s="16">
        <v>9</v>
      </c>
      <c r="C11" s="16">
        <v>2024</v>
      </c>
      <c r="D11" s="46">
        <f t="shared" si="0"/>
        <v>45538</v>
      </c>
    </row>
    <row r="12" spans="1:4">
      <c r="A12" s="16">
        <v>4</v>
      </c>
      <c r="B12" s="16">
        <v>9</v>
      </c>
      <c r="C12" s="16">
        <v>2024</v>
      </c>
      <c r="D12" s="46">
        <f t="shared" si="0"/>
        <v>45539</v>
      </c>
    </row>
    <row r="13" spans="1:4">
      <c r="A13" s="16">
        <v>5</v>
      </c>
      <c r="B13" s="16">
        <v>9</v>
      </c>
      <c r="C13" s="16">
        <v>2024</v>
      </c>
      <c r="D13" s="46">
        <f t="shared" si="0"/>
        <v>45540</v>
      </c>
    </row>
    <row r="17" spans="1:8">
      <c r="A17" t="s">
        <v>205</v>
      </c>
      <c r="B17" s="32">
        <v>36526</v>
      </c>
    </row>
    <row r="18" spans="1:8">
      <c r="A18" t="s">
        <v>197</v>
      </c>
      <c r="B18" s="32">
        <v>45564</v>
      </c>
    </row>
    <row r="20" spans="1:8">
      <c r="B20" s="47">
        <f>YEARFRAC(B17,B18)</f>
        <v>24.744444444444444</v>
      </c>
      <c r="C20">
        <f>DATEDIF(B17,B18,"Y")</f>
        <v>24</v>
      </c>
      <c r="D20" t="s">
        <v>194</v>
      </c>
      <c r="E20">
        <f>DATEDIF(B17,B18,"YM")</f>
        <v>8</v>
      </c>
      <c r="F20" t="s">
        <v>175</v>
      </c>
      <c r="G20">
        <f>DATEDIF(B17,B18,"md")</f>
        <v>28</v>
      </c>
      <c r="H20" t="s">
        <v>199</v>
      </c>
    </row>
    <row r="21" spans="1:8">
      <c r="C21">
        <f>DATEDIF(B17,B18,"M")</f>
        <v>296</v>
      </c>
      <c r="D21" t="s">
        <v>175</v>
      </c>
    </row>
    <row r="22" spans="1:8">
      <c r="C22">
        <f>DATEDIF(B17,B18,"d")</f>
        <v>9038</v>
      </c>
      <c r="D22" t="s">
        <v>199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AFAD-2567-4241-8EA4-1E225ADE390D}">
  <dimension ref="A1:F13"/>
  <sheetViews>
    <sheetView zoomScale="133" zoomScaleNormal="205" workbookViewId="0">
      <selection activeCell="B10" sqref="B10"/>
    </sheetView>
  </sheetViews>
  <sheetFormatPr defaultRowHeight="14.4"/>
  <cols>
    <col min="1" max="1" width="23.88671875" customWidth="1"/>
    <col min="2" max="2" width="27.33203125" customWidth="1"/>
    <col min="3" max="3" width="29.21875" customWidth="1"/>
    <col min="4" max="4" width="13.77734375" customWidth="1"/>
  </cols>
  <sheetData>
    <row r="1" spans="1:6">
      <c r="A1" s="5" t="s">
        <v>5</v>
      </c>
      <c r="B1" s="5" t="s">
        <v>6</v>
      </c>
      <c r="C1" s="5" t="s">
        <v>7</v>
      </c>
      <c r="D1" s="43" t="s">
        <v>32</v>
      </c>
      <c r="E1" s="43" t="s">
        <v>183</v>
      </c>
      <c r="F1" s="43" t="s">
        <v>184</v>
      </c>
    </row>
    <row r="2" spans="1:6">
      <c r="A2" s="4" t="s">
        <v>8</v>
      </c>
      <c r="B2" s="4" t="s">
        <v>9</v>
      </c>
      <c r="C2" s="4" t="s">
        <v>10</v>
      </c>
      <c r="D2" t="str">
        <f>PROPER(A2)</f>
        <v>John Doe</v>
      </c>
      <c r="E2" t="str">
        <f>LEFT(A2,4)</f>
        <v>john</v>
      </c>
    </row>
    <row r="3" spans="1:6">
      <c r="A3" s="4" t="s">
        <v>11</v>
      </c>
      <c r="B3" s="4" t="s">
        <v>12</v>
      </c>
      <c r="C3" s="4" t="s">
        <v>13</v>
      </c>
      <c r="D3" t="str">
        <f t="shared" ref="D3:D5" si="0">PROPER(A3)</f>
        <v>Mary Jane</v>
      </c>
      <c r="E3" t="str">
        <f t="shared" ref="E3:E4" si="1">LEFT(A3,4)</f>
        <v>MARY</v>
      </c>
    </row>
    <row r="4" spans="1:6">
      <c r="A4" s="4" t="s">
        <v>14</v>
      </c>
      <c r="B4" s="4" t="s">
        <v>15</v>
      </c>
      <c r="C4" s="4" t="s">
        <v>16</v>
      </c>
      <c r="D4" t="str">
        <f t="shared" si="0"/>
        <v>Alice Smith</v>
      </c>
      <c r="E4" t="str">
        <f t="shared" si="1"/>
        <v>alic</v>
      </c>
    </row>
    <row r="5" spans="1:6">
      <c r="A5" s="4" t="s">
        <v>17</v>
      </c>
      <c r="B5" s="4" t="s">
        <v>18</v>
      </c>
      <c r="C5" s="4" t="s">
        <v>19</v>
      </c>
      <c r="D5" t="str">
        <f t="shared" si="0"/>
        <v>Robert Brown</v>
      </c>
      <c r="E5" t="str">
        <f>LEFT(A5,4)</f>
        <v>rOBE</v>
      </c>
    </row>
    <row r="9" spans="1:6">
      <c r="A9" s="5" t="s">
        <v>5</v>
      </c>
      <c r="B9" s="43" t="s">
        <v>203</v>
      </c>
      <c r="C9" s="43" t="s">
        <v>183</v>
      </c>
    </row>
    <row r="10" spans="1:6">
      <c r="A10" s="4" t="s">
        <v>8</v>
      </c>
      <c r="B10">
        <f>FIND(" ",A10)</f>
        <v>5</v>
      </c>
      <c r="C10" t="str">
        <f>LEFT(A10,FIND(" ",A10)-1)</f>
        <v>john</v>
      </c>
    </row>
    <row r="11" spans="1:6">
      <c r="A11" s="4" t="s">
        <v>11</v>
      </c>
      <c r="B11">
        <f t="shared" ref="B11:B13" si="2">FIND(" ",A11)</f>
        <v>5</v>
      </c>
      <c r="C11" t="str">
        <f t="shared" ref="C11:C12" si="3">LEFT(A11,FIND(" ",A11)-1)</f>
        <v>MARY</v>
      </c>
    </row>
    <row r="12" spans="1:6">
      <c r="A12" s="4" t="s">
        <v>14</v>
      </c>
      <c r="B12">
        <f t="shared" si="2"/>
        <v>6</v>
      </c>
      <c r="C12" t="str">
        <f t="shared" si="3"/>
        <v>alice</v>
      </c>
    </row>
    <row r="13" spans="1:6">
      <c r="A13" s="4" t="s">
        <v>17</v>
      </c>
      <c r="B13">
        <f t="shared" si="2"/>
        <v>7</v>
      </c>
      <c r="C13" t="str">
        <f>LEFT(A13,FIND(" ",A13)-1)</f>
        <v>rOBERT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7E83-F656-4071-9B70-C06A31B2300A}">
  <dimension ref="A1:G50"/>
  <sheetViews>
    <sheetView topLeftCell="A28" zoomScale="280" zoomScaleNormal="280" workbookViewId="0">
      <selection activeCell="D31" sqref="D31"/>
    </sheetView>
  </sheetViews>
  <sheetFormatPr defaultRowHeight="14.4"/>
  <cols>
    <col min="1" max="1" width="13.77734375" bestFit="1" customWidth="1"/>
    <col min="2" max="2" width="23.88671875" bestFit="1" customWidth="1"/>
    <col min="3" max="4" width="10.33203125" bestFit="1" customWidth="1"/>
    <col min="7" max="7" width="10.33203125" bestFit="1" customWidth="1"/>
  </cols>
  <sheetData>
    <row r="1" spans="1:7">
      <c r="A1" t="s">
        <v>206</v>
      </c>
      <c r="B1" s="32">
        <f ca="1">TODAY()</f>
        <v>45790</v>
      </c>
      <c r="D1" s="45" t="s">
        <v>128</v>
      </c>
      <c r="E1" s="45" t="s">
        <v>204</v>
      </c>
      <c r="F1" s="45" t="s">
        <v>129</v>
      </c>
      <c r="G1" s="40" t="s">
        <v>207</v>
      </c>
    </row>
    <row r="2" spans="1:7">
      <c r="A2" t="s">
        <v>192</v>
      </c>
      <c r="B2" s="41">
        <f ca="1">NOW()</f>
        <v>45790.445373263887</v>
      </c>
      <c r="D2" s="16">
        <v>1</v>
      </c>
      <c r="E2" s="16">
        <v>2</v>
      </c>
      <c r="F2" s="16">
        <v>2020</v>
      </c>
      <c r="G2" s="32">
        <f>DATE(F2,E2,D2)</f>
        <v>43862</v>
      </c>
    </row>
    <row r="3" spans="1:7">
      <c r="D3" s="16">
        <v>2</v>
      </c>
      <c r="E3" s="16">
        <v>3</v>
      </c>
      <c r="F3" s="16">
        <v>2021</v>
      </c>
      <c r="G3" s="32">
        <f t="shared" ref="G3:G6" si="0">DATE(F3,E3,D3)</f>
        <v>44257</v>
      </c>
    </row>
    <row r="4" spans="1:7">
      <c r="A4" t="s">
        <v>193</v>
      </c>
      <c r="B4">
        <f ca="1">DAY(B1)</f>
        <v>13</v>
      </c>
      <c r="D4" s="16">
        <v>3</v>
      </c>
      <c r="E4" s="16">
        <v>4</v>
      </c>
      <c r="F4" s="16">
        <v>2022</v>
      </c>
      <c r="G4" s="32">
        <f t="shared" si="0"/>
        <v>44654</v>
      </c>
    </row>
    <row r="5" spans="1:7">
      <c r="A5" t="s">
        <v>175</v>
      </c>
      <c r="B5">
        <f ca="1">MONTH(B1)</f>
        <v>5</v>
      </c>
      <c r="D5" s="16">
        <v>4</v>
      </c>
      <c r="E5" s="16">
        <v>5</v>
      </c>
      <c r="F5" s="16">
        <v>2023</v>
      </c>
      <c r="G5" s="32">
        <f t="shared" si="0"/>
        <v>45050</v>
      </c>
    </row>
    <row r="6" spans="1:7">
      <c r="A6" t="s">
        <v>194</v>
      </c>
      <c r="B6">
        <f ca="1">YEAR(B1)</f>
        <v>2025</v>
      </c>
      <c r="D6" s="16">
        <v>5</v>
      </c>
      <c r="E6" s="16">
        <v>6</v>
      </c>
      <c r="F6" s="16">
        <v>2024</v>
      </c>
      <c r="G6" s="32">
        <f t="shared" si="0"/>
        <v>45448</v>
      </c>
    </row>
    <row r="8" spans="1:7">
      <c r="A8" t="s">
        <v>207</v>
      </c>
      <c r="B8" s="32">
        <f ca="1">DATE(B6,B5,B4)</f>
        <v>45790</v>
      </c>
    </row>
    <row r="10" spans="1:7">
      <c r="A10" t="s">
        <v>177</v>
      </c>
      <c r="D10" t="s">
        <v>208</v>
      </c>
    </row>
    <row r="12" spans="1:7">
      <c r="A12" t="s">
        <v>205</v>
      </c>
      <c r="B12" s="32">
        <v>36817</v>
      </c>
    </row>
    <row r="13" spans="1:7">
      <c r="A13" t="s">
        <v>197</v>
      </c>
      <c r="B13" s="32">
        <v>45584</v>
      </c>
    </row>
    <row r="15" spans="1:7">
      <c r="B15">
        <f>YEARFRAC(B12,B13)</f>
        <v>24.002777777777776</v>
      </c>
      <c r="D15">
        <f>DATEDIF(B12,B13,"d")</f>
        <v>8767</v>
      </c>
      <c r="E15" t="s">
        <v>199</v>
      </c>
      <c r="F15">
        <f>DATEDIF(B12,B13,"d")</f>
        <v>8767</v>
      </c>
    </row>
    <row r="16" spans="1:7">
      <c r="D16">
        <f>DATEDIF(B12,B13,"m")</f>
        <v>288</v>
      </c>
      <c r="E16" t="s">
        <v>175</v>
      </c>
    </row>
    <row r="17" spans="1:5">
      <c r="D17">
        <f>DATEDIF(B12,B13,"y")</f>
        <v>24</v>
      </c>
      <c r="E17" t="s">
        <v>194</v>
      </c>
    </row>
    <row r="19" spans="1:5">
      <c r="A19" t="s">
        <v>209</v>
      </c>
      <c r="B19" s="40" t="s">
        <v>210</v>
      </c>
    </row>
    <row r="20" spans="1:5">
      <c r="B20">
        <v>0</v>
      </c>
      <c r="C20">
        <v>1</v>
      </c>
    </row>
    <row r="21" spans="1:5">
      <c r="A21" s="42">
        <v>45292</v>
      </c>
      <c r="B21" s="32">
        <f>EOMONTH(A21,0)</f>
        <v>45322</v>
      </c>
      <c r="C21" s="32">
        <f>EOMONTH(A21,1)</f>
        <v>45351</v>
      </c>
    </row>
    <row r="22" spans="1:5">
      <c r="A22" s="32">
        <v>45414</v>
      </c>
      <c r="B22" s="32">
        <f>EOMONTH(A22,0)</f>
        <v>45443</v>
      </c>
      <c r="C22" s="32">
        <f t="shared" ref="C22:C24" si="1">EOMONTH(A22,1)</f>
        <v>45473</v>
      </c>
    </row>
    <row r="23" spans="1:5">
      <c r="A23" s="32">
        <v>45568</v>
      </c>
      <c r="B23" s="32">
        <f>EOMONTH(A23,0)</f>
        <v>45596</v>
      </c>
      <c r="C23" s="32">
        <f t="shared" si="1"/>
        <v>45626</v>
      </c>
    </row>
    <row r="24" spans="1:5">
      <c r="A24" s="32">
        <v>45326</v>
      </c>
      <c r="B24" s="32">
        <f>EOMONTH(A24,0)</f>
        <v>45351</v>
      </c>
      <c r="C24" s="32">
        <f t="shared" si="1"/>
        <v>45382</v>
      </c>
    </row>
    <row r="25" spans="1:5">
      <c r="D25" t="s">
        <v>211</v>
      </c>
    </row>
    <row r="26" spans="1:5">
      <c r="A26" t="s">
        <v>205</v>
      </c>
      <c r="B26" s="32">
        <v>45566</v>
      </c>
      <c r="D26" s="32">
        <v>45567</v>
      </c>
      <c r="E26" t="s">
        <v>212</v>
      </c>
    </row>
    <row r="27" spans="1:5">
      <c r="A27" t="s">
        <v>197</v>
      </c>
      <c r="B27" s="32">
        <v>45596</v>
      </c>
      <c r="D27" s="32">
        <v>45596</v>
      </c>
      <c r="E27" t="s">
        <v>213</v>
      </c>
    </row>
    <row r="29" spans="1:5">
      <c r="A29" t="s">
        <v>214</v>
      </c>
      <c r="B29">
        <f>NETWORKDAYS(B26,B27)</f>
        <v>23</v>
      </c>
    </row>
    <row r="30" spans="1:5">
      <c r="A30" t="s">
        <v>215</v>
      </c>
      <c r="B30">
        <f>NETWORKDAYS(B26,B27,D26:D27)</f>
        <v>21</v>
      </c>
    </row>
    <row r="31" spans="1:5">
      <c r="B31">
        <f>NETWORKDAYS.INTL(B26,B27,11,D26:D27)</f>
        <v>25</v>
      </c>
    </row>
    <row r="33" spans="1:5">
      <c r="D33" t="s">
        <v>211</v>
      </c>
    </row>
    <row r="34" spans="1:5">
      <c r="A34" t="s">
        <v>205</v>
      </c>
      <c r="B34" s="32">
        <v>45586</v>
      </c>
      <c r="D34" s="32">
        <v>45567</v>
      </c>
      <c r="E34" t="s">
        <v>212</v>
      </c>
    </row>
    <row r="35" spans="1:5">
      <c r="A35" t="s">
        <v>216</v>
      </c>
      <c r="B35">
        <v>15</v>
      </c>
      <c r="D35" s="32">
        <v>45596</v>
      </c>
      <c r="E35" t="s">
        <v>213</v>
      </c>
    </row>
    <row r="37" spans="1:5">
      <c r="B37" s="32">
        <f>WORKDAY(B34,B35,D34:D35)</f>
        <v>45608</v>
      </c>
    </row>
    <row r="38" spans="1:5">
      <c r="B38" s="32">
        <f>WORKDAY.INTL(B34,B35,11,D34:D35)</f>
        <v>45604</v>
      </c>
    </row>
    <row r="40" spans="1:5">
      <c r="A40" s="32">
        <v>45596</v>
      </c>
      <c r="B40" t="str">
        <f>TEXT(A40,"dddd")</f>
        <v>Thursday</v>
      </c>
      <c r="C40" t="str">
        <f>TEXT(A40,"mmmm")</f>
        <v>October</v>
      </c>
    </row>
    <row r="41" spans="1:5">
      <c r="A41" s="42">
        <v>45292</v>
      </c>
      <c r="B41" t="str">
        <f t="shared" ref="B41:B44" si="2">TEXT(A41,"dddd")</f>
        <v>Monday</v>
      </c>
      <c r="C41" t="str">
        <f t="shared" ref="C41:C44" si="3">TEXT(A41,"mmmm")</f>
        <v>January</v>
      </c>
    </row>
    <row r="42" spans="1:5">
      <c r="A42" s="32">
        <v>45414</v>
      </c>
      <c r="B42" t="str">
        <f t="shared" si="2"/>
        <v>Thursday</v>
      </c>
      <c r="C42" t="str">
        <f t="shared" si="3"/>
        <v>May</v>
      </c>
    </row>
    <row r="43" spans="1:5">
      <c r="A43" s="32">
        <v>45568</v>
      </c>
      <c r="B43" t="str">
        <f t="shared" si="2"/>
        <v>Thursday</v>
      </c>
      <c r="C43" t="str">
        <f t="shared" si="3"/>
        <v>October</v>
      </c>
    </row>
    <row r="44" spans="1:5">
      <c r="A44" s="32">
        <v>45326</v>
      </c>
      <c r="B44" t="str">
        <f t="shared" si="2"/>
        <v>Sunday</v>
      </c>
      <c r="C44" t="str">
        <f t="shared" si="3"/>
        <v>February</v>
      </c>
    </row>
    <row r="46" spans="1:5">
      <c r="A46" s="32">
        <v>45596</v>
      </c>
      <c r="B46" s="49">
        <f>A46</f>
        <v>45596</v>
      </c>
    </row>
    <row r="47" spans="1:5">
      <c r="A47" s="42">
        <v>45292</v>
      </c>
      <c r="B47" s="49">
        <f t="shared" ref="B47:B50" si="4">A47</f>
        <v>45292</v>
      </c>
    </row>
    <row r="48" spans="1:5">
      <c r="A48" s="32">
        <v>45414</v>
      </c>
      <c r="B48" s="49">
        <f t="shared" si="4"/>
        <v>45414</v>
      </c>
    </row>
    <row r="49" spans="1:2">
      <c r="A49" s="32">
        <v>45568</v>
      </c>
      <c r="B49" s="49">
        <f t="shared" si="4"/>
        <v>45568</v>
      </c>
    </row>
    <row r="50" spans="1:2">
      <c r="A50" s="32">
        <v>45326</v>
      </c>
      <c r="B50" s="49">
        <f t="shared" si="4"/>
        <v>45326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B5EF-3A5D-473C-811B-DF9D681C1FC6}">
  <dimension ref="A1:G17"/>
  <sheetViews>
    <sheetView workbookViewId="0">
      <selection activeCell="J8" sqref="J8"/>
    </sheetView>
  </sheetViews>
  <sheetFormatPr defaultRowHeight="14.4"/>
  <cols>
    <col min="1" max="1" width="10.33203125" bestFit="1" customWidth="1"/>
    <col min="4" max="4" width="6.5546875" bestFit="1" customWidth="1"/>
    <col min="5" max="5" width="13.88671875" bestFit="1" customWidth="1"/>
    <col min="6" max="6" width="16.77734375" bestFit="1" customWidth="1"/>
    <col min="7" max="7" width="17.5546875" bestFit="1" customWidth="1"/>
  </cols>
  <sheetData>
    <row r="1" spans="1:7" ht="21">
      <c r="A1" s="59" t="s">
        <v>258</v>
      </c>
      <c r="B1" s="59" t="s">
        <v>128</v>
      </c>
      <c r="C1" s="59" t="s">
        <v>204</v>
      </c>
      <c r="D1" s="59" t="s">
        <v>129</v>
      </c>
      <c r="E1" s="59" t="s">
        <v>259</v>
      </c>
      <c r="F1" s="60" t="s">
        <v>260</v>
      </c>
      <c r="G1" s="60" t="s">
        <v>261</v>
      </c>
    </row>
    <row r="2" spans="1:7">
      <c r="A2" s="46">
        <v>45658</v>
      </c>
      <c r="B2" s="48">
        <f>DAY(A2)</f>
        <v>1</v>
      </c>
      <c r="C2" s="48">
        <f>MONTH(A2)</f>
        <v>1</v>
      </c>
      <c r="D2" s="48">
        <f>YEAR(A2)</f>
        <v>2025</v>
      </c>
      <c r="E2" s="48" t="str">
        <f>TEXT(A2,"dddd")</f>
        <v>Wednesday</v>
      </c>
      <c r="F2" s="16" t="str">
        <f ca="1">_xlfn.FORMULATEXT(E2)</f>
        <v>=TEXT(A2,"dddd")</v>
      </c>
      <c r="G2" s="48" t="str">
        <f>TEXT(A2,"mmmm")</f>
        <v>January</v>
      </c>
    </row>
    <row r="3" spans="1:7">
      <c r="A3" s="46">
        <v>45659</v>
      </c>
      <c r="B3" s="48">
        <f t="shared" ref="B3:B17" si="0">DAY(A3)</f>
        <v>2</v>
      </c>
      <c r="C3" s="48">
        <f t="shared" ref="C3:C17" si="1">MONTH(A3)</f>
        <v>1</v>
      </c>
      <c r="D3" s="48">
        <f t="shared" ref="D3:D17" si="2">YEAR(A3)</f>
        <v>2025</v>
      </c>
      <c r="E3" s="48" t="str">
        <f t="shared" ref="E3:E17" si="3">TEXT(A3,"dddd")</f>
        <v>Thursday</v>
      </c>
      <c r="F3" s="16" t="str">
        <f t="shared" ref="F3:F17" ca="1" si="4">_xlfn.FORMULATEXT(E3)</f>
        <v>=TEXT(A3,"dddd")</v>
      </c>
      <c r="G3" s="48" t="str">
        <f t="shared" ref="G3:G17" si="5">TEXT(A3,"mmmm")</f>
        <v>January</v>
      </c>
    </row>
    <row r="4" spans="1:7">
      <c r="A4" s="46">
        <v>45660</v>
      </c>
      <c r="B4" s="48">
        <f t="shared" si="0"/>
        <v>3</v>
      </c>
      <c r="C4" s="48">
        <f t="shared" si="1"/>
        <v>1</v>
      </c>
      <c r="D4" s="48">
        <f t="shared" si="2"/>
        <v>2025</v>
      </c>
      <c r="E4" s="48" t="str">
        <f t="shared" si="3"/>
        <v>Friday</v>
      </c>
      <c r="F4" s="16" t="str">
        <f t="shared" ca="1" si="4"/>
        <v>=TEXT(A4,"dddd")</v>
      </c>
      <c r="G4" s="48" t="str">
        <f t="shared" si="5"/>
        <v>January</v>
      </c>
    </row>
    <row r="5" spans="1:7">
      <c r="A5" s="46">
        <v>45965</v>
      </c>
      <c r="B5" s="48">
        <f t="shared" si="0"/>
        <v>4</v>
      </c>
      <c r="C5" s="48">
        <f t="shared" si="1"/>
        <v>11</v>
      </c>
      <c r="D5" s="48">
        <f t="shared" si="2"/>
        <v>2025</v>
      </c>
      <c r="E5" s="48" t="str">
        <f t="shared" si="3"/>
        <v>Tuesday</v>
      </c>
      <c r="F5" s="16" t="str">
        <f t="shared" ca="1" si="4"/>
        <v>=TEXT(A5,"dddd")</v>
      </c>
      <c r="G5" s="48" t="str">
        <f t="shared" si="5"/>
        <v>November</v>
      </c>
    </row>
    <row r="6" spans="1:7">
      <c r="A6" s="46">
        <v>45905</v>
      </c>
      <c r="B6" s="48">
        <f t="shared" si="0"/>
        <v>5</v>
      </c>
      <c r="C6" s="48">
        <f t="shared" si="1"/>
        <v>9</v>
      </c>
      <c r="D6" s="48">
        <f t="shared" si="2"/>
        <v>2025</v>
      </c>
      <c r="E6" s="48" t="str">
        <f t="shared" si="3"/>
        <v>Friday</v>
      </c>
      <c r="F6" s="16" t="str">
        <f t="shared" ca="1" si="4"/>
        <v>=TEXT(A6,"dddd")</v>
      </c>
      <c r="G6" s="48" t="str">
        <f t="shared" si="5"/>
        <v>September</v>
      </c>
    </row>
    <row r="7" spans="1:7">
      <c r="A7" s="46">
        <v>45875</v>
      </c>
      <c r="B7" s="48">
        <f t="shared" si="0"/>
        <v>6</v>
      </c>
      <c r="C7" s="48">
        <f t="shared" si="1"/>
        <v>8</v>
      </c>
      <c r="D7" s="48">
        <f t="shared" si="2"/>
        <v>2025</v>
      </c>
      <c r="E7" s="48" t="str">
        <f t="shared" si="3"/>
        <v>Wednesday</v>
      </c>
      <c r="F7" s="16" t="str">
        <f t="shared" ca="1" si="4"/>
        <v>=TEXT(A7,"dddd")</v>
      </c>
      <c r="G7" s="48" t="str">
        <f t="shared" si="5"/>
        <v>August</v>
      </c>
    </row>
    <row r="8" spans="1:7">
      <c r="A8" s="46">
        <v>45664</v>
      </c>
      <c r="B8" s="48">
        <f t="shared" si="0"/>
        <v>7</v>
      </c>
      <c r="C8" s="48">
        <f t="shared" si="1"/>
        <v>1</v>
      </c>
      <c r="D8" s="48">
        <f t="shared" si="2"/>
        <v>2025</v>
      </c>
      <c r="E8" s="48" t="str">
        <f t="shared" si="3"/>
        <v>Tuesday</v>
      </c>
      <c r="F8" s="16" t="str">
        <f t="shared" ca="1" si="4"/>
        <v>=TEXT(A8,"dddd")</v>
      </c>
      <c r="G8" s="48" t="str">
        <f t="shared" si="5"/>
        <v>January</v>
      </c>
    </row>
    <row r="9" spans="1:7">
      <c r="A9" s="46">
        <v>45665</v>
      </c>
      <c r="B9" s="48">
        <f t="shared" si="0"/>
        <v>8</v>
      </c>
      <c r="C9" s="48">
        <f t="shared" si="1"/>
        <v>1</v>
      </c>
      <c r="D9" s="48">
        <f t="shared" si="2"/>
        <v>2025</v>
      </c>
      <c r="E9" s="48" t="str">
        <f t="shared" si="3"/>
        <v>Wednesday</v>
      </c>
      <c r="F9" s="16" t="str">
        <f t="shared" ca="1" si="4"/>
        <v>=TEXT(A9,"dddd")</v>
      </c>
      <c r="G9" s="48" t="str">
        <f t="shared" si="5"/>
        <v>January</v>
      </c>
    </row>
    <row r="10" spans="1:7">
      <c r="A10" s="46">
        <v>45666</v>
      </c>
      <c r="B10" s="48">
        <f t="shared" si="0"/>
        <v>9</v>
      </c>
      <c r="C10" s="48">
        <f t="shared" si="1"/>
        <v>1</v>
      </c>
      <c r="D10" s="48">
        <f t="shared" si="2"/>
        <v>2025</v>
      </c>
      <c r="E10" s="48" t="str">
        <f t="shared" si="3"/>
        <v>Thursday</v>
      </c>
      <c r="F10" s="16" t="str">
        <f t="shared" ca="1" si="4"/>
        <v>=TEXT(A10,"dddd")</v>
      </c>
      <c r="G10" s="48" t="str">
        <f t="shared" si="5"/>
        <v>January</v>
      </c>
    </row>
    <row r="11" spans="1:7">
      <c r="A11" s="46">
        <v>45667</v>
      </c>
      <c r="B11" s="48">
        <f t="shared" si="0"/>
        <v>10</v>
      </c>
      <c r="C11" s="48">
        <f t="shared" si="1"/>
        <v>1</v>
      </c>
      <c r="D11" s="48">
        <f t="shared" si="2"/>
        <v>2025</v>
      </c>
      <c r="E11" s="48" t="str">
        <f t="shared" si="3"/>
        <v>Friday</v>
      </c>
      <c r="F11" s="16" t="str">
        <f t="shared" ca="1" si="4"/>
        <v>=TEXT(A11,"dddd")</v>
      </c>
      <c r="G11" s="48" t="str">
        <f t="shared" si="5"/>
        <v>January</v>
      </c>
    </row>
    <row r="12" spans="1:7">
      <c r="A12" s="46">
        <v>45668</v>
      </c>
      <c r="B12" s="48">
        <f t="shared" si="0"/>
        <v>11</v>
      </c>
      <c r="C12" s="48">
        <f t="shared" si="1"/>
        <v>1</v>
      </c>
      <c r="D12" s="48">
        <f t="shared" si="2"/>
        <v>2025</v>
      </c>
      <c r="E12" s="48" t="str">
        <f t="shared" si="3"/>
        <v>Saturday</v>
      </c>
      <c r="F12" s="16" t="str">
        <f t="shared" ca="1" si="4"/>
        <v>=TEXT(A12,"dddd")</v>
      </c>
      <c r="G12" s="48" t="str">
        <f t="shared" si="5"/>
        <v>January</v>
      </c>
    </row>
    <row r="13" spans="1:7">
      <c r="A13" s="46">
        <v>45669</v>
      </c>
      <c r="B13" s="48">
        <f t="shared" si="0"/>
        <v>12</v>
      </c>
      <c r="C13" s="48">
        <f t="shared" si="1"/>
        <v>1</v>
      </c>
      <c r="D13" s="48">
        <f t="shared" si="2"/>
        <v>2025</v>
      </c>
      <c r="E13" s="48" t="str">
        <f t="shared" si="3"/>
        <v>Sunday</v>
      </c>
      <c r="F13" s="16" t="str">
        <f t="shared" ca="1" si="4"/>
        <v>=TEXT(A13,"dddd")</v>
      </c>
      <c r="G13" s="48" t="str">
        <f t="shared" si="5"/>
        <v>January</v>
      </c>
    </row>
    <row r="14" spans="1:7">
      <c r="A14" s="46">
        <v>45670</v>
      </c>
      <c r="B14" s="48">
        <f t="shared" si="0"/>
        <v>13</v>
      </c>
      <c r="C14" s="48">
        <f t="shared" si="1"/>
        <v>1</v>
      </c>
      <c r="D14" s="48">
        <f t="shared" si="2"/>
        <v>2025</v>
      </c>
      <c r="E14" s="48" t="str">
        <f t="shared" si="3"/>
        <v>Monday</v>
      </c>
      <c r="F14" s="16" t="str">
        <f t="shared" ca="1" si="4"/>
        <v>=TEXT(A14,"dddd")</v>
      </c>
      <c r="G14" s="48" t="str">
        <f t="shared" si="5"/>
        <v>January</v>
      </c>
    </row>
    <row r="15" spans="1:7">
      <c r="A15" s="46">
        <v>45671</v>
      </c>
      <c r="B15" s="48">
        <f t="shared" si="0"/>
        <v>14</v>
      </c>
      <c r="C15" s="48">
        <f t="shared" si="1"/>
        <v>1</v>
      </c>
      <c r="D15" s="48">
        <f t="shared" si="2"/>
        <v>2025</v>
      </c>
      <c r="E15" s="48" t="str">
        <f t="shared" si="3"/>
        <v>Tuesday</v>
      </c>
      <c r="F15" s="16" t="str">
        <f t="shared" ca="1" si="4"/>
        <v>=TEXT(A15,"dddd")</v>
      </c>
      <c r="G15" s="48" t="str">
        <f t="shared" si="5"/>
        <v>January</v>
      </c>
    </row>
    <row r="16" spans="1:7">
      <c r="A16" s="46">
        <v>45672</v>
      </c>
      <c r="B16" s="48">
        <f t="shared" si="0"/>
        <v>15</v>
      </c>
      <c r="C16" s="48">
        <f t="shared" si="1"/>
        <v>1</v>
      </c>
      <c r="D16" s="48">
        <f t="shared" si="2"/>
        <v>2025</v>
      </c>
      <c r="E16" s="48" t="str">
        <f t="shared" si="3"/>
        <v>Wednesday</v>
      </c>
      <c r="F16" s="16" t="str">
        <f t="shared" ca="1" si="4"/>
        <v>=TEXT(A16,"dddd")</v>
      </c>
      <c r="G16" s="48" t="str">
        <f t="shared" si="5"/>
        <v>January</v>
      </c>
    </row>
    <row r="17" spans="1:7">
      <c r="A17" s="46">
        <v>45673</v>
      </c>
      <c r="B17" s="48">
        <f t="shared" si="0"/>
        <v>16</v>
      </c>
      <c r="C17" s="48">
        <f t="shared" si="1"/>
        <v>1</v>
      </c>
      <c r="D17" s="48">
        <f t="shared" si="2"/>
        <v>2025</v>
      </c>
      <c r="E17" s="48" t="str">
        <f t="shared" si="3"/>
        <v>Thursday</v>
      </c>
      <c r="F17" s="16" t="str">
        <f t="shared" ca="1" si="4"/>
        <v>=TEXT(A17,"dddd")</v>
      </c>
      <c r="G17" s="48" t="str">
        <f t="shared" si="5"/>
        <v>January</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FE2E-CF6D-465D-9BC6-0833FA7316B9}">
  <dimension ref="A1:G62"/>
  <sheetViews>
    <sheetView tabSelected="1" topLeftCell="A32" workbookViewId="0">
      <selection activeCell="C14" sqref="C14"/>
    </sheetView>
  </sheetViews>
  <sheetFormatPr defaultRowHeight="14.4"/>
  <cols>
    <col min="1" max="1" width="31.109375" bestFit="1" customWidth="1"/>
    <col min="2" max="2" width="14" customWidth="1"/>
    <col min="3" max="3" width="48.5546875" bestFit="1" customWidth="1"/>
    <col min="4" max="4" width="25.6640625" bestFit="1" customWidth="1"/>
    <col min="5" max="5" width="25.77734375" bestFit="1" customWidth="1"/>
    <col min="6" max="6" width="14.44140625" bestFit="1" customWidth="1"/>
    <col min="7" max="7" width="27.33203125" bestFit="1" customWidth="1"/>
  </cols>
  <sheetData>
    <row r="1" spans="1:7">
      <c r="A1" t="s">
        <v>262</v>
      </c>
      <c r="B1" t="s">
        <v>263</v>
      </c>
      <c r="C1" t="s">
        <v>128</v>
      </c>
      <c r="D1" t="s">
        <v>175</v>
      </c>
      <c r="E1" t="s">
        <v>129</v>
      </c>
      <c r="F1" t="s">
        <v>272</v>
      </c>
      <c r="G1" t="s">
        <v>273</v>
      </c>
    </row>
    <row r="2" spans="1:7">
      <c r="A2" s="32">
        <v>45658</v>
      </c>
      <c r="B2" s="32">
        <v>45779</v>
      </c>
      <c r="C2">
        <f>DATEDIF(A2,B2,"d")</f>
        <v>121</v>
      </c>
      <c r="D2">
        <f>DATEDIF(A2,B2,"m")</f>
        <v>4</v>
      </c>
      <c r="E2">
        <f>DATEDIF(A2,B2,"y")</f>
        <v>0</v>
      </c>
      <c r="F2" s="32">
        <f>EOMONTH(Table2[[#This Row],[Order Date]],0)</f>
        <v>45688</v>
      </c>
      <c r="G2" t="str">
        <f ca="1">_xlfn.FORMULATEXT(Table2[[#This Row],[END OF MONTH]])</f>
        <v>=EOMONTH([@[Order Date]],0)</v>
      </c>
    </row>
    <row r="3" spans="1:7">
      <c r="A3" s="32">
        <v>45659</v>
      </c>
      <c r="B3" s="32">
        <v>45800</v>
      </c>
      <c r="C3">
        <f t="shared" ref="C3:C9" si="0">DATEDIF(A3,B3,"d")</f>
        <v>141</v>
      </c>
      <c r="D3">
        <f t="shared" ref="D3:D9" si="1">DATEDIF(A3,B3,"m")</f>
        <v>4</v>
      </c>
      <c r="E3">
        <f t="shared" ref="E3:E9" si="2">DATEDIF(A3,B3,"y")</f>
        <v>0</v>
      </c>
      <c r="F3" s="32">
        <f>EOMONTH(Table2[[#This Row],[Order Date]],0)</f>
        <v>45688</v>
      </c>
      <c r="G3" t="str">
        <f ca="1">_xlfn.FORMULATEXT(Table2[[#This Row],[END OF MONTH]])</f>
        <v>=EOMONTH([@[Order Date]],0)</v>
      </c>
    </row>
    <row r="4" spans="1:7">
      <c r="A4" s="32">
        <v>45660</v>
      </c>
      <c r="B4" s="32">
        <v>45781</v>
      </c>
      <c r="C4">
        <f t="shared" si="0"/>
        <v>121</v>
      </c>
      <c r="D4">
        <f t="shared" si="1"/>
        <v>4</v>
      </c>
      <c r="E4">
        <f t="shared" si="2"/>
        <v>0</v>
      </c>
      <c r="F4" s="32">
        <f>EOMONTH(Table2[[#This Row],[Order Date]],0)</f>
        <v>45688</v>
      </c>
      <c r="G4" t="str">
        <f ca="1">_xlfn.FORMULATEXT(Table2[[#This Row],[END OF MONTH]])</f>
        <v>=EOMONTH([@[Order Date]],0)</v>
      </c>
    </row>
    <row r="5" spans="1:7">
      <c r="A5" s="32">
        <v>45661</v>
      </c>
      <c r="B5" s="32">
        <v>45782</v>
      </c>
      <c r="C5">
        <f t="shared" si="0"/>
        <v>121</v>
      </c>
      <c r="D5">
        <f t="shared" si="1"/>
        <v>4</v>
      </c>
      <c r="E5">
        <f t="shared" si="2"/>
        <v>0</v>
      </c>
      <c r="F5" s="32">
        <f>EOMONTH(Table2[[#This Row],[Order Date]],0)</f>
        <v>45688</v>
      </c>
      <c r="G5" t="str">
        <f ca="1">_xlfn.FORMULATEXT(Table2[[#This Row],[END OF MONTH]])</f>
        <v>=EOMONTH([@[Order Date]],0)</v>
      </c>
    </row>
    <row r="6" spans="1:7">
      <c r="A6" s="32">
        <v>45662</v>
      </c>
      <c r="B6" s="32">
        <v>45834</v>
      </c>
      <c r="C6">
        <f t="shared" si="0"/>
        <v>172</v>
      </c>
      <c r="D6">
        <f t="shared" si="1"/>
        <v>5</v>
      </c>
      <c r="E6">
        <f t="shared" si="2"/>
        <v>0</v>
      </c>
      <c r="F6" s="32">
        <f>EOMONTH(Table2[[#This Row],[Order Date]],0)</f>
        <v>45688</v>
      </c>
      <c r="G6" t="str">
        <f ca="1">_xlfn.FORMULATEXT(Table2[[#This Row],[END OF MONTH]])</f>
        <v>=EOMONTH([@[Order Date]],0)</v>
      </c>
    </row>
    <row r="7" spans="1:7">
      <c r="A7" s="32">
        <v>45663</v>
      </c>
      <c r="B7" s="32">
        <v>45784</v>
      </c>
      <c r="C7">
        <f t="shared" si="0"/>
        <v>121</v>
      </c>
      <c r="D7">
        <f t="shared" si="1"/>
        <v>4</v>
      </c>
      <c r="E7">
        <f t="shared" si="2"/>
        <v>0</v>
      </c>
      <c r="F7" s="32">
        <f>EOMONTH(Table2[[#This Row],[Order Date]],0)</f>
        <v>45688</v>
      </c>
      <c r="G7" t="str">
        <f ca="1">_xlfn.FORMULATEXT(Table2[[#This Row],[END OF MONTH]])</f>
        <v>=EOMONTH([@[Order Date]],0)</v>
      </c>
    </row>
    <row r="8" spans="1:7">
      <c r="A8" s="32">
        <v>45664</v>
      </c>
      <c r="B8" s="32">
        <v>45785</v>
      </c>
      <c r="C8">
        <f t="shared" si="0"/>
        <v>121</v>
      </c>
      <c r="D8">
        <f t="shared" si="1"/>
        <v>4</v>
      </c>
      <c r="E8">
        <f t="shared" si="2"/>
        <v>0</v>
      </c>
      <c r="F8" s="32">
        <f>EOMONTH(Table2[[#This Row],[Order Date]],0)</f>
        <v>45688</v>
      </c>
      <c r="G8" t="str">
        <f ca="1">_xlfn.FORMULATEXT(Table2[[#This Row],[END OF MONTH]])</f>
        <v>=EOMONTH([@[Order Date]],0)</v>
      </c>
    </row>
    <row r="9" spans="1:7">
      <c r="A9" s="32">
        <v>45665</v>
      </c>
      <c r="B9" s="32">
        <v>47247</v>
      </c>
      <c r="C9">
        <f t="shared" si="0"/>
        <v>1582</v>
      </c>
      <c r="D9">
        <f t="shared" si="1"/>
        <v>52</v>
      </c>
      <c r="E9">
        <f t="shared" si="2"/>
        <v>4</v>
      </c>
      <c r="F9" s="32">
        <f>EOMONTH(Table2[[#This Row],[Order Date]],0)</f>
        <v>45688</v>
      </c>
      <c r="G9" t="str">
        <f ca="1">_xlfn.FORMULATEXT(Table2[[#This Row],[END OF MONTH]])</f>
        <v>=EOMONTH([@[Order Date]],0)</v>
      </c>
    </row>
    <row r="13" spans="1:7">
      <c r="A13" s="61" t="s">
        <v>264</v>
      </c>
      <c r="B13" s="61" t="s">
        <v>206</v>
      </c>
      <c r="C13" s="61" t="s">
        <v>265</v>
      </c>
      <c r="D13" s="61" t="s">
        <v>266</v>
      </c>
      <c r="E13" s="61" t="s">
        <v>267</v>
      </c>
    </row>
    <row r="14" spans="1:7">
      <c r="A14" s="32">
        <v>36526</v>
      </c>
      <c r="B14" s="32">
        <f ca="1">TODAY()</f>
        <v>45790</v>
      </c>
      <c r="C14">
        <f ca="1">DATEDIF(A14,B14,"y")</f>
        <v>25</v>
      </c>
      <c r="D14">
        <f ca="1">DATEDIF(A14,B14,"m")</f>
        <v>304</v>
      </c>
      <c r="E14">
        <f ca="1">DATEDIF(A14,B14,"d")</f>
        <v>9264</v>
      </c>
    </row>
    <row r="15" spans="1:7">
      <c r="C15" s="40" t="s">
        <v>265</v>
      </c>
      <c r="D15" s="40" t="s">
        <v>266</v>
      </c>
      <c r="E15" s="40" t="s">
        <v>267</v>
      </c>
    </row>
    <row r="16" spans="1:7">
      <c r="C16">
        <f ca="1">DATEDIF($A$14,$B$14,"y")</f>
        <v>25</v>
      </c>
      <c r="D16">
        <f ca="1">DATEDIF($A$14,$B$14,"ym")</f>
        <v>4</v>
      </c>
      <c r="E16">
        <f ca="1">DATEDIF($A$14,$B$14,"md")</f>
        <v>12</v>
      </c>
    </row>
    <row r="17" spans="1:7">
      <c r="C17" s="63" t="str">
        <f ca="1">_xlfn.FORMULATEXT(C16)</f>
        <v>=DATEDIF($A$14,$B$14,"y")</v>
      </c>
      <c r="D17" s="63" t="str">
        <f t="shared" ref="D17:E17" ca="1" si="3">_xlfn.FORMULATEXT(D16)</f>
        <v>=DATEDIF($A$14,$B$14,"ym")</v>
      </c>
      <c r="E17" s="63" t="str">
        <f t="shared" ca="1" si="3"/>
        <v>=DATEDIF($A$14,$B$14,"md")</v>
      </c>
    </row>
    <row r="19" spans="1:7">
      <c r="A19" s="40" t="s">
        <v>270</v>
      </c>
    </row>
    <row r="20" spans="1:7">
      <c r="A20" t="s">
        <v>268</v>
      </c>
      <c r="B20" t="s">
        <v>269</v>
      </c>
      <c r="C20" t="s">
        <v>271</v>
      </c>
      <c r="D20" t="s">
        <v>272</v>
      </c>
      <c r="E20" t="s">
        <v>274</v>
      </c>
      <c r="F20" t="s">
        <v>275</v>
      </c>
      <c r="G20" t="s">
        <v>276</v>
      </c>
    </row>
    <row r="21" spans="1:7">
      <c r="A21" s="32">
        <v>45422</v>
      </c>
      <c r="B21" s="32">
        <f>EDATE(A21,6)</f>
        <v>45606</v>
      </c>
      <c r="C21" s="32" t="str">
        <f ca="1">_xlfn.FORMULATEXT(Table4[[#This Row],[Confirm Date]])</f>
        <v>=EDATE(A21,6)</v>
      </c>
      <c r="D21" s="32">
        <f>EOMONTH(Table4[[#This Row],[Date of join]],0)</f>
        <v>45443</v>
      </c>
      <c r="E21" s="32">
        <f>EOMONTH(Table4[[#This Row],[Date of join]],1)</f>
        <v>45473</v>
      </c>
      <c r="F21" s="32">
        <f>EOMONTH(Table4[[#This Row],[Date of join]],-1)</f>
        <v>45412</v>
      </c>
      <c r="G21" s="32">
        <f>EOMONTH(Table4[[#This Row],[Date of join]],2)</f>
        <v>45504</v>
      </c>
    </row>
    <row r="22" spans="1:7">
      <c r="A22" s="32">
        <v>45334</v>
      </c>
      <c r="B22" s="32">
        <f t="shared" ref="B22:B23" si="4">EDATE(A22,6)</f>
        <v>45516</v>
      </c>
      <c r="C22" s="32" t="str">
        <f ca="1">_xlfn.FORMULATEXT(Table4[[#This Row],[Confirm Date]])</f>
        <v>=EDATE(A22,6)</v>
      </c>
      <c r="D22" s="32">
        <f>EOMONTH(Table4[[#This Row],[Date of join]],0)</f>
        <v>45351</v>
      </c>
      <c r="E22" s="32">
        <f>EOMONTH(Table4[[#This Row],[Date of join]],1)</f>
        <v>45382</v>
      </c>
      <c r="F22" s="32">
        <f>EOMONTH(Table4[[#This Row],[Date of join]],-1)</f>
        <v>45322</v>
      </c>
      <c r="G22" s="32">
        <f>EOMONTH(Table4[[#This Row],[Date of join]],2)</f>
        <v>45412</v>
      </c>
    </row>
    <row r="23" spans="1:7">
      <c r="A23" s="32">
        <v>45790</v>
      </c>
      <c r="B23" s="32">
        <f t="shared" si="4"/>
        <v>45974</v>
      </c>
      <c r="C23" s="32" t="str">
        <f ca="1">_xlfn.FORMULATEXT(Table4[[#This Row],[Confirm Date]])</f>
        <v>=EDATE(A23,6)</v>
      </c>
      <c r="D23" s="32">
        <f>EOMONTH(Table4[[#This Row],[Date of join]],0)</f>
        <v>45808</v>
      </c>
      <c r="E23" s="32">
        <f>EOMONTH(Table4[[#This Row],[Date of join]],1)</f>
        <v>45838</v>
      </c>
      <c r="F23" s="32">
        <f>EOMONTH(Table4[[#This Row],[Date of join]],-1)</f>
        <v>45777</v>
      </c>
      <c r="G23" s="32">
        <f>EOMONTH(Table4[[#This Row],[Date of join]],2)</f>
        <v>45869</v>
      </c>
    </row>
    <row r="26" spans="1:7">
      <c r="C26" t="s">
        <v>277</v>
      </c>
    </row>
    <row r="27" spans="1:7">
      <c r="C27" t="s">
        <v>278</v>
      </c>
    </row>
    <row r="32" spans="1:7">
      <c r="A32" s="25" t="s">
        <v>262</v>
      </c>
      <c r="B32" s="58" t="s">
        <v>263</v>
      </c>
      <c r="C32" t="s">
        <v>271</v>
      </c>
    </row>
    <row r="33" spans="1:4">
      <c r="A33" s="64">
        <v>45658</v>
      </c>
      <c r="B33" s="66">
        <v>45779</v>
      </c>
      <c r="C33">
        <f t="shared" ref="C33:C40" si="5">YEARFRAC(A33,B33)</f>
        <v>0.33611111111111114</v>
      </c>
    </row>
    <row r="34" spans="1:4">
      <c r="A34" s="65">
        <v>45659</v>
      </c>
      <c r="B34" s="67">
        <v>49452</v>
      </c>
      <c r="C34">
        <f t="shared" si="5"/>
        <v>10.391666666666667</v>
      </c>
    </row>
    <row r="35" spans="1:4">
      <c r="A35" s="64">
        <v>45660</v>
      </c>
      <c r="B35" s="66">
        <v>45781</v>
      </c>
      <c r="C35">
        <f t="shared" si="5"/>
        <v>0.33611111111111114</v>
      </c>
    </row>
    <row r="36" spans="1:4">
      <c r="A36" s="65">
        <v>45661</v>
      </c>
      <c r="B36" s="67">
        <v>46512</v>
      </c>
      <c r="C36">
        <f t="shared" si="5"/>
        <v>2.3361111111111112</v>
      </c>
    </row>
    <row r="37" spans="1:4">
      <c r="A37" s="64">
        <v>45662</v>
      </c>
      <c r="B37" s="66">
        <v>53139</v>
      </c>
      <c r="C37">
        <f t="shared" si="5"/>
        <v>20.475000000000001</v>
      </c>
    </row>
    <row r="38" spans="1:4">
      <c r="A38" s="65">
        <v>45663</v>
      </c>
      <c r="B38" s="67">
        <v>45784</v>
      </c>
      <c r="C38">
        <f t="shared" si="5"/>
        <v>0.33611111111111114</v>
      </c>
    </row>
    <row r="39" spans="1:4">
      <c r="A39" s="64">
        <v>45664</v>
      </c>
      <c r="B39" s="66">
        <v>45785</v>
      </c>
      <c r="C39">
        <f t="shared" si="5"/>
        <v>0.33611111111111114</v>
      </c>
    </row>
    <row r="40" spans="1:4">
      <c r="A40" s="65">
        <v>45665</v>
      </c>
      <c r="B40" s="67">
        <v>47247</v>
      </c>
      <c r="C40">
        <f t="shared" si="5"/>
        <v>4.3361111111111112</v>
      </c>
    </row>
    <row r="43" spans="1:4">
      <c r="D43" t="s">
        <v>283</v>
      </c>
    </row>
    <row r="44" spans="1:4">
      <c r="A44" s="71" t="s">
        <v>279</v>
      </c>
      <c r="D44" s="32">
        <v>45671</v>
      </c>
    </row>
    <row r="45" spans="1:4">
      <c r="A45" s="72" t="s">
        <v>280</v>
      </c>
      <c r="B45" s="68">
        <v>45658</v>
      </c>
      <c r="D45" s="32">
        <v>45683</v>
      </c>
    </row>
    <row r="46" spans="1:4">
      <c r="A46" s="72" t="s">
        <v>281</v>
      </c>
      <c r="B46" s="6">
        <v>15</v>
      </c>
    </row>
    <row r="47" spans="1:4">
      <c r="A47" s="69"/>
      <c r="B47" s="73"/>
    </row>
    <row r="48" spans="1:4">
      <c r="A48" s="70" t="s">
        <v>282</v>
      </c>
      <c r="B48" s="68">
        <f>WORKDAY(B45,B46)</f>
        <v>45679</v>
      </c>
      <c r="C48" t="str">
        <f ca="1">_xlfn.FORMULATEXT(B48)</f>
        <v>=WORKDAY(B45,B46)</v>
      </c>
    </row>
    <row r="49" spans="1:3">
      <c r="A49" s="62" t="s">
        <v>284</v>
      </c>
      <c r="B49" s="68">
        <f>WORKDAY(B45,B46,D44:D45)</f>
        <v>45680</v>
      </c>
      <c r="C49" t="str">
        <f ca="1">_xlfn.FORMULATEXT(B49)</f>
        <v>=WORKDAY(B45,B46,D44:D45)</v>
      </c>
    </row>
    <row r="50" spans="1:3">
      <c r="B50" s="68">
        <f>WORKDAY.INTL(B45,B46,16,D44:D45)</f>
        <v>45677</v>
      </c>
      <c r="C50" t="str">
        <f ca="1">_xlfn.FORMULATEXT(B50)</f>
        <v>=WORKDAY.INTL(B45,B46,16,D44:D45)</v>
      </c>
    </row>
    <row r="54" spans="1:3">
      <c r="A54" t="s">
        <v>271</v>
      </c>
      <c r="B54" t="s">
        <v>274</v>
      </c>
      <c r="C54" t="s">
        <v>275</v>
      </c>
    </row>
    <row r="55" spans="1:3">
      <c r="A55" t="s">
        <v>285</v>
      </c>
    </row>
    <row r="57" spans="1:3">
      <c r="A57" t="s">
        <v>196</v>
      </c>
      <c r="B57" s="32">
        <v>45658</v>
      </c>
    </row>
    <row r="58" spans="1:3">
      <c r="A58" t="s">
        <v>286</v>
      </c>
      <c r="B58" s="32">
        <v>45680</v>
      </c>
    </row>
    <row r="60" spans="1:3">
      <c r="A60" t="s">
        <v>287</v>
      </c>
      <c r="B60">
        <f>NETWORKDAYS(B57,B58)</f>
        <v>17</v>
      </c>
      <c r="C60" t="str">
        <f ca="1">_xlfn.FORMULATEXT(B60)</f>
        <v>=NETWORKDAYS(B57,B58)</v>
      </c>
    </row>
    <row r="61" spans="1:3">
      <c r="A61" t="s">
        <v>288</v>
      </c>
      <c r="B61">
        <f>NETWORKDAYS(B57,B58,D44:D45)</f>
        <v>16</v>
      </c>
      <c r="C61" t="str">
        <f t="shared" ref="C61:C62" ca="1" si="6">_xlfn.FORMULATEXT(B61)</f>
        <v>=NETWORKDAYS(B57,B58,D44:D45)</v>
      </c>
    </row>
    <row r="62" spans="1:3">
      <c r="A62" t="s">
        <v>289</v>
      </c>
      <c r="B62">
        <f>NETWORKDAYS.INTL(B57,B58,16,D44:D45)</f>
        <v>19</v>
      </c>
      <c r="C62" t="str">
        <f t="shared" ca="1" si="6"/>
        <v>=NETWORKDAYS.INTL(B57,B58,16,D44:D45)</v>
      </c>
    </row>
  </sheetData>
  <phoneticPr fontId="12" type="noConversion"/>
  <pageMargins left="0.7" right="0.7" top="0.75" bottom="0.75" header="0.3" footer="0.3"/>
  <tableParts count="5">
    <tablePart r:id="rId1"/>
    <tablePart r:id="rId2"/>
    <tablePart r:id="rId3"/>
    <tablePart r:id="rId4"/>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CA17-9706-4A84-836D-07103C34B169}">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Topics</vt:lpstr>
      <vt:lpstr>Text Function</vt:lpstr>
      <vt:lpstr>TTL</vt:lpstr>
      <vt:lpstr>CaseStudyOnFlashFill</vt:lpstr>
      <vt:lpstr>CaseStudyOnDateFunctions</vt:lpstr>
      <vt:lpstr>Sheet6</vt:lpstr>
      <vt:lpstr>CaseStudyOnTextFunction</vt:lpstr>
      <vt:lpstr>Sheet4</vt:lpstr>
      <vt:lpstr>Sheet5</vt:lpstr>
      <vt:lpstr>Date Function</vt:lpstr>
      <vt:lpstr>Sheet1</vt:lpstr>
      <vt:lpstr>Sheet2</vt:lpstr>
      <vt:lpstr>Sheet3</vt:lpstr>
      <vt:lpstr>Sheet7</vt:lpstr>
      <vt:lpstr>Date Function Practice</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2024-07-24T08:39:48Z</dcterms:created>
  <dcterms:modified xsi:type="dcterms:W3CDTF">2025-05-13T05:14:24Z</dcterms:modified>
</cp:coreProperties>
</file>