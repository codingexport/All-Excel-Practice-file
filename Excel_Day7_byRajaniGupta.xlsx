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OneDrive\Desktop\ExcelerAllTopic\Excel\Excel All file\"/>
    </mc:Choice>
  </mc:AlternateContent>
  <xr:revisionPtr revIDLastSave="0" documentId="13_ncr:1_{A6B1BE08-3541-41F9-A398-7A1A330BD2BE}" xr6:coauthVersionLast="47" xr6:coauthVersionMax="47" xr10:uidLastSave="{00000000-0000-0000-0000-000000000000}"/>
  <bookViews>
    <workbookView xWindow="-108" yWindow="-108" windowWidth="23256" windowHeight="13176" xr2:uid="{7E3CF690-6F96-4547-AAAF-6BA5AC17CA5B}"/>
  </bookViews>
  <sheets>
    <sheet name="Topics" sheetId="1" r:id="rId1"/>
    <sheet name="Data" sheetId="7" r:id="rId2"/>
    <sheet name="Coverting to table" sheetId="8" r:id="rId3"/>
    <sheet name="Sort Advance" sheetId="10" r:id="rId4"/>
    <sheet name="Tasks" sheetId="9" r:id="rId5"/>
    <sheet name="Sheet11" sheetId="11" r:id="rId6"/>
    <sheet name="Sheet1" sheetId="12" r:id="rId7"/>
    <sheet name="Sheet2" sheetId="13" r:id="rId8"/>
    <sheet name="Sheet3" sheetId="14" r:id="rId9"/>
  </sheets>
  <definedNames>
    <definedName name="_xlnm._FilterDatabase" localSheetId="8" hidden="1">Sheet3!$A$1:$G$8</definedName>
    <definedName name="_xlnm._FilterDatabase" localSheetId="3" hidden="1">'Sort Advance'!$I$11:$I$22</definedName>
    <definedName name="_xlnm.Criteria" localSheetId="8">Sheet3!$B$11:$B$12</definedName>
    <definedName name="_xlnm.Criteria" localSheetId="3">'Sort Advance'!$I$15:$I$16</definedName>
    <definedName name="_xlnm.Extract" localSheetId="8">Sheet3!$B$14:$H$14</definedName>
    <definedName name="_xlnm.Extract" localSheetId="3">'Sort Advance'!$I$18:$O$18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4" l="1"/>
  <c r="G7" i="14"/>
  <c r="G6" i="14"/>
  <c r="G5" i="14"/>
  <c r="G4" i="14"/>
  <c r="G3" i="14"/>
  <c r="G2" i="14"/>
  <c r="G18" i="10"/>
  <c r="G22" i="10"/>
  <c r="G20" i="10"/>
  <c r="G16" i="10"/>
  <c r="G19" i="10"/>
  <c r="G21" i="10"/>
  <c r="G17" i="10"/>
</calcChain>
</file>

<file path=xl/sharedStrings.xml><?xml version="1.0" encoding="utf-8"?>
<sst xmlns="http://schemas.openxmlformats.org/spreadsheetml/2006/main" count="346" uniqueCount="94">
  <si>
    <t>CTRL+T(Converting into an Excel Table),</t>
  </si>
  <si>
    <t xml:space="preserve">Formatting Table, </t>
  </si>
  <si>
    <t xml:space="preserve">Remove Duplicate, </t>
  </si>
  <si>
    <t xml:space="preserve">SORT, </t>
  </si>
  <si>
    <t>Advanced Sort,</t>
  </si>
  <si>
    <t>FILTER,</t>
  </si>
  <si>
    <t>Advanced Filter</t>
  </si>
  <si>
    <t>Number Formatting(with shortcuts),</t>
  </si>
  <si>
    <t>Topics</t>
  </si>
  <si>
    <t>John Doe</t>
  </si>
  <si>
    <t>Jane Smith</t>
  </si>
  <si>
    <t>Task 1: Converting Data into an Excel Table (CTRL+T)</t>
  </si>
  <si>
    <t>Task 2: Formatting Table</t>
  </si>
  <si>
    <t>Task 3: Removing Duplicates</t>
  </si>
  <si>
    <t>Task 4: Sorting Data</t>
  </si>
  <si>
    <t>Task 5: Advanced Sort</t>
  </si>
  <si>
    <t>Task 6: Filtering Data</t>
  </si>
  <si>
    <t>Task 7: Advanced Filter</t>
  </si>
  <si>
    <t>Employee ID</t>
  </si>
  <si>
    <t>Name</t>
  </si>
  <si>
    <t>Department</t>
  </si>
  <si>
    <t>Date of Joining</t>
  </si>
  <si>
    <t>Salary</t>
  </si>
  <si>
    <t>Bonus</t>
  </si>
  <si>
    <t>E001</t>
  </si>
  <si>
    <t>HR</t>
  </si>
  <si>
    <t>E002</t>
  </si>
  <si>
    <t>Sales</t>
  </si>
  <si>
    <t>E003</t>
  </si>
  <si>
    <t>Emily Davis</t>
  </si>
  <si>
    <t>Finance</t>
  </si>
  <si>
    <t>E004</t>
  </si>
  <si>
    <t>Michael Brown</t>
  </si>
  <si>
    <t>E005</t>
  </si>
  <si>
    <t>Chris Wilson</t>
  </si>
  <si>
    <t>Design</t>
  </si>
  <si>
    <t>E006</t>
  </si>
  <si>
    <t>Sarah Lee</t>
  </si>
  <si>
    <t>E007</t>
  </si>
  <si>
    <t>David King</t>
  </si>
  <si>
    <t>Properties</t>
  </si>
  <si>
    <t>Tools</t>
  </si>
  <si>
    <t>Table Style Options</t>
  </si>
  <si>
    <t>Table Styles</t>
  </si>
  <si>
    <t>Table Name</t>
  </si>
  <si>
    <t>Insert Slicer</t>
  </si>
  <si>
    <t>Header Row</t>
  </si>
  <si>
    <t>Choose Styles ap per your Choice</t>
  </si>
  <si>
    <t>Resize Table</t>
  </si>
  <si>
    <t>Remove Duplicates</t>
  </si>
  <si>
    <t>First Column</t>
  </si>
  <si>
    <t>Make your own</t>
  </si>
  <si>
    <t>Convert Range</t>
  </si>
  <si>
    <t>Last Column</t>
  </si>
  <si>
    <t>Summarize with Pivot Table</t>
  </si>
  <si>
    <t>Banded Rows</t>
  </si>
  <si>
    <t>Banded Columns</t>
  </si>
  <si>
    <t>Filter Button</t>
  </si>
  <si>
    <t>Total Row</t>
  </si>
  <si>
    <t>Sort</t>
  </si>
  <si>
    <t>Filter</t>
  </si>
  <si>
    <t>Text</t>
  </si>
  <si>
    <t>A-Z</t>
  </si>
  <si>
    <t>Text Filters</t>
  </si>
  <si>
    <t>Z-A</t>
  </si>
  <si>
    <t>Number Filters</t>
  </si>
  <si>
    <t>Numeric</t>
  </si>
  <si>
    <t>Lowest To Highest</t>
  </si>
  <si>
    <t>Date Filters</t>
  </si>
  <si>
    <t>Highest To Lowest</t>
  </si>
  <si>
    <t>Filter by Color</t>
  </si>
  <si>
    <t>Custom Sort/MultiLevel Sorting</t>
  </si>
  <si>
    <t>Advance Filter</t>
  </si>
  <si>
    <t>1.Cell Value</t>
  </si>
  <si>
    <t>2.Cell Color</t>
  </si>
  <si>
    <t>3.Font Color</t>
  </si>
  <si>
    <t>4.Conditional Formating Icon</t>
  </si>
  <si>
    <t>How to Format Series like Month Names,Days etc</t>
  </si>
  <si>
    <t>Freeze Panes</t>
  </si>
  <si>
    <t xml:space="preserve">Task 8: Number Formatting </t>
  </si>
  <si>
    <t>Condtional Formatting</t>
  </si>
  <si>
    <t>Highlight Cells Rule</t>
  </si>
  <si>
    <t>Top/Bottom Rule</t>
  </si>
  <si>
    <t>Databars</t>
  </si>
  <si>
    <t>Color Scales</t>
  </si>
  <si>
    <t>Icon Sets</t>
  </si>
  <si>
    <t>New Rule</t>
  </si>
  <si>
    <t>Clear Rule</t>
  </si>
  <si>
    <t>Manage Rule</t>
  </si>
  <si>
    <t>Conditional Formating</t>
  </si>
  <si>
    <t>Month name</t>
  </si>
  <si>
    <t>January</t>
  </si>
  <si>
    <t>February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</si>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</sst>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/>
    <xf numFmtId="0" fontId="0" fillId="4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wrapText="1"/>
    </xf>
    <xf numFmtId="0" fontId="3" fillId="0" borderId="0" xfId="0" applyFont="1" applyAlignment="1">
      <alignment vertical="center"/>
    </xf>
    <xf numFmtId="0" fontId="0" fillId="2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2" xfId="0" applyFill="1" applyBorder="1"/>
    <xf numFmtId="14" fontId="0" fillId="0" borderId="0" xfId="0" applyNumberFormat="1"/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C733BF-4EE1-440E-94A3-09F98D47FEC9}" name="Table3" displayName="Table3" ref="A15:G22" totalsRowShown="0" headerRowDxfId="10">
  <autoFilter ref="A15:G22" xr:uid="{FEC733BF-4EE1-440E-94A3-09F98D47FEC9}"/>
  <sortState xmlns:xlrd2="http://schemas.microsoft.com/office/spreadsheetml/2017/richdata2" ref="A16:G22">
    <sortCondition ref="G16:G22" customList="January,February,March,April,May,June,July,August,September,October,November,December"/>
  </sortState>
  <tableColumns count="7">
    <tableColumn id="1" xr3:uid="{233F87C5-A69D-4A47-9569-3779F9CF38FB}" name="Employee ID"/>
    <tableColumn id="2" xr3:uid="{E4DABD23-D322-4747-B32E-9BE729BBDED0}" name="Name"/>
    <tableColumn id="3" xr3:uid="{01A9BEDF-6D47-45FE-9557-A11FD8520D62}" name="Department"/>
    <tableColumn id="4" xr3:uid="{9A238BEC-0168-4A98-80E6-B5B1AB695695}" name="Date of Joining"/>
    <tableColumn id="5" xr3:uid="{DE658C52-9C39-427B-8533-43B9779527B4}" name="Salary"/>
    <tableColumn id="6" xr3:uid="{3D5245D8-3387-426F-ABC8-449F476000F0}" name="Bonus"/>
    <tableColumn id="7" xr3:uid="{EC5A1DB7-D96E-4F53-B69E-9A9FF78DD078}" name="Month name">
      <calculatedColumnFormula>TEXT(Table3[[#This Row],[Date of Joining]],"mmmm")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625F8-12AA-468A-BF3F-EA9CD129661E}" name="Table1" displayName="Table1" ref="A1:F22" totalsRowShown="0" headerRowDxfId="9" dataDxfId="8">
  <autoFilter ref="A1:F22" xr:uid="{ADB625F8-12AA-468A-BF3F-EA9CD129661E}"/>
  <tableColumns count="6">
    <tableColumn id="1" xr3:uid="{314BF559-F6BC-4AFB-9005-B8E5B15E5D9C}" name="Employee ID" dataDxfId="7"/>
    <tableColumn id="2" xr3:uid="{175CDD9D-DBE0-40DC-ACB1-9581E8B3475B}" name="Name" dataDxfId="6"/>
    <tableColumn id="3" xr3:uid="{2660E734-9271-4E4A-A165-1D863D5575DB}" name="Department" dataDxfId="5"/>
    <tableColumn id="4" xr3:uid="{B9BA9C5C-CC48-40E3-AAB9-04B5C3DD4B94}" name="Date of Joining" dataDxfId="4"/>
    <tableColumn id="5" xr3:uid="{C0B6BB77-6A0B-49F9-91AC-5A0552AD36DF}" name="Salary" dataDxfId="3"/>
    <tableColumn id="6" xr3:uid="{56FF02F4-98B1-4608-A9B1-AE8D60B8D089}" name="Bonu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8B8273-C975-44D0-8DE6-6BBAE40EAA2C}" name="Table33" displayName="Table33" ref="A1:G8" totalsRowShown="0" headerRowDxfId="1">
  <sortState xmlns:xlrd2="http://schemas.microsoft.com/office/spreadsheetml/2017/richdata2" ref="A2:G8">
    <sortCondition ref="G16:G22" customList="January,February,March,April,May,June,July,August,September,October,November,December"/>
  </sortState>
  <tableColumns count="7">
    <tableColumn id="1" xr3:uid="{BBD8B107-C127-40CB-BA5E-45478601A826}" name="Employee ID"/>
    <tableColumn id="2" xr3:uid="{6643FD12-8D3C-4CAE-BC26-883149399402}" name="Name"/>
    <tableColumn id="3" xr3:uid="{982176CD-CEB2-4CD8-B191-F9874A0AE0B0}" name="Department"/>
    <tableColumn id="4" xr3:uid="{3B7B5E74-6A85-4763-83DA-81E4ED455416}" name="Date of Joining" dataDxfId="0"/>
    <tableColumn id="5" xr3:uid="{043CA8F6-A9BF-474A-B2BC-F0F5CC5F30CC}" name="Salary"/>
    <tableColumn id="6" xr3:uid="{FFA9E69F-FCC6-48E2-9DE7-602639F936BE}" name="Bonus"/>
    <tableColumn id="7" xr3:uid="{80DFB965-9924-43F2-B752-18550879C72A}" name="Month name">
      <calculatedColumnFormula>TEXT(Table33[[#This Row],[Date of Joining]],"mmmm")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0C1E-3125-4A4D-9A6F-C634112A4D3B}">
  <dimension ref="A1:A11"/>
  <sheetViews>
    <sheetView tabSelected="1" zoomScale="235" zoomScaleNormal="235" workbookViewId="0">
      <selection activeCell="A9" sqref="A9"/>
    </sheetView>
  </sheetViews>
  <sheetFormatPr defaultRowHeight="14.4" x14ac:dyDescent="0.3"/>
  <cols>
    <col min="1" max="1" width="50.77734375" customWidth="1"/>
  </cols>
  <sheetData>
    <row r="1" spans="1:1" x14ac:dyDescent="0.3">
      <c r="A1" s="1" t="s">
        <v>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78</v>
      </c>
    </row>
    <row r="10" spans="1:1" x14ac:dyDescent="0.3">
      <c r="A10" t="s">
        <v>89</v>
      </c>
    </row>
    <row r="11" spans="1:1" x14ac:dyDescent="0.3">
      <c r="A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A1EA-0543-472F-A97D-28FB7D296065}">
  <dimension ref="A1:F8"/>
  <sheetViews>
    <sheetView workbookViewId="0">
      <selection activeCell="D16" sqref="D16"/>
    </sheetView>
  </sheetViews>
  <sheetFormatPr defaultRowHeight="14.4" x14ac:dyDescent="0.3"/>
  <cols>
    <col min="1" max="1" width="13.77734375" customWidth="1"/>
    <col min="2" max="2" width="22.44140625" customWidth="1"/>
    <col min="3" max="3" width="21.44140625" customWidth="1"/>
    <col min="4" max="4" width="24.77734375" customWidth="1"/>
  </cols>
  <sheetData>
    <row r="1" spans="1:6" ht="28.8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3">
      <c r="A2" s="3" t="s">
        <v>24</v>
      </c>
      <c r="B2" s="3" t="s">
        <v>9</v>
      </c>
      <c r="C2" s="3" t="s">
        <v>25</v>
      </c>
      <c r="D2" s="4">
        <v>44326</v>
      </c>
      <c r="E2" s="3">
        <v>50000</v>
      </c>
      <c r="F2" s="3">
        <v>5000</v>
      </c>
    </row>
    <row r="3" spans="1:6" ht="28.8" x14ac:dyDescent="0.3">
      <c r="A3" s="3" t="s">
        <v>26</v>
      </c>
      <c r="B3" s="3" t="s">
        <v>10</v>
      </c>
      <c r="C3" s="3" t="s">
        <v>27</v>
      </c>
      <c r="D3" s="4">
        <v>43700</v>
      </c>
      <c r="E3" s="3">
        <v>60000</v>
      </c>
      <c r="F3" s="3">
        <v>6000</v>
      </c>
    </row>
    <row r="4" spans="1:6" ht="28.8" x14ac:dyDescent="0.3">
      <c r="A4" s="3" t="s">
        <v>28</v>
      </c>
      <c r="B4" s="3" t="s">
        <v>29</v>
      </c>
      <c r="C4" s="3" t="s">
        <v>30</v>
      </c>
      <c r="D4" s="4">
        <v>43875</v>
      </c>
      <c r="E4" s="3">
        <v>55000</v>
      </c>
      <c r="F4" s="3">
        <v>5500</v>
      </c>
    </row>
    <row r="5" spans="1:6" ht="28.8" x14ac:dyDescent="0.3">
      <c r="A5" s="3" t="s">
        <v>31</v>
      </c>
      <c r="B5" s="3" t="s">
        <v>32</v>
      </c>
      <c r="C5" s="3" t="s">
        <v>25</v>
      </c>
      <c r="D5" s="4">
        <v>43188</v>
      </c>
      <c r="E5" s="3">
        <v>52000</v>
      </c>
      <c r="F5" s="3">
        <v>5200</v>
      </c>
    </row>
    <row r="6" spans="1:6" ht="28.8" x14ac:dyDescent="0.3">
      <c r="A6" s="3" t="s">
        <v>33</v>
      </c>
      <c r="B6" s="3" t="s">
        <v>34</v>
      </c>
      <c r="C6" s="3" t="s">
        <v>35</v>
      </c>
      <c r="D6" s="4">
        <v>44530</v>
      </c>
      <c r="E6" s="3">
        <v>48000</v>
      </c>
      <c r="F6" s="3">
        <v>4800</v>
      </c>
    </row>
    <row r="7" spans="1:6" x14ac:dyDescent="0.3">
      <c r="A7" s="3" t="s">
        <v>36</v>
      </c>
      <c r="B7" s="3" t="s">
        <v>37</v>
      </c>
      <c r="C7" s="3" t="s">
        <v>27</v>
      </c>
      <c r="D7" s="4">
        <v>42932</v>
      </c>
      <c r="E7" s="3">
        <v>62000</v>
      </c>
      <c r="F7" s="3">
        <v>6200</v>
      </c>
    </row>
    <row r="8" spans="1:6" ht="28.8" x14ac:dyDescent="0.3">
      <c r="A8" s="3" t="s">
        <v>38</v>
      </c>
      <c r="B8" s="3" t="s">
        <v>39</v>
      </c>
      <c r="C8" s="3" t="s">
        <v>30</v>
      </c>
      <c r="D8" s="4">
        <v>44566</v>
      </c>
      <c r="E8" s="3">
        <v>53000</v>
      </c>
      <c r="F8" s="3">
        <v>5300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1515-001E-45AE-91B9-0602012B3AAB}">
  <dimension ref="A1:F17"/>
  <sheetViews>
    <sheetView workbookViewId="0">
      <selection activeCell="A10" sqref="A10:F17"/>
    </sheetView>
  </sheetViews>
  <sheetFormatPr defaultRowHeight="14.4" x14ac:dyDescent="0.3"/>
  <cols>
    <col min="1" max="1" width="28.109375" customWidth="1"/>
    <col min="2" max="2" width="27.5546875" customWidth="1"/>
    <col min="3" max="3" width="25.44140625" customWidth="1"/>
    <col min="4" max="4" width="33.33203125" customWidth="1"/>
  </cols>
  <sheetData>
    <row r="1" spans="1:6" x14ac:dyDescent="0.3">
      <c r="A1" s="6" t="s">
        <v>40</v>
      </c>
      <c r="B1" s="6" t="s">
        <v>41</v>
      </c>
      <c r="C1" s="6" t="s">
        <v>42</v>
      </c>
      <c r="D1" s="6" t="s">
        <v>43</v>
      </c>
    </row>
    <row r="2" spans="1:6" x14ac:dyDescent="0.3">
      <c r="A2" s="7" t="s">
        <v>44</v>
      </c>
      <c r="B2" s="7" t="s">
        <v>45</v>
      </c>
      <c r="C2" s="7" t="s">
        <v>46</v>
      </c>
      <c r="D2" s="7" t="s">
        <v>47</v>
      </c>
    </row>
    <row r="3" spans="1:6" x14ac:dyDescent="0.3">
      <c r="A3" s="7" t="s">
        <v>48</v>
      </c>
      <c r="B3" s="7" t="s">
        <v>49</v>
      </c>
      <c r="C3" s="7" t="s">
        <v>50</v>
      </c>
      <c r="D3" s="7" t="s">
        <v>51</v>
      </c>
    </row>
    <row r="4" spans="1:6" x14ac:dyDescent="0.3">
      <c r="A4" s="7"/>
      <c r="B4" s="7" t="s">
        <v>52</v>
      </c>
      <c r="C4" s="7" t="s">
        <v>53</v>
      </c>
      <c r="D4" s="7"/>
    </row>
    <row r="5" spans="1:6" x14ac:dyDescent="0.3">
      <c r="A5" s="7"/>
      <c r="B5" s="7" t="s">
        <v>54</v>
      </c>
      <c r="C5" s="7" t="s">
        <v>55</v>
      </c>
      <c r="D5" s="7"/>
    </row>
    <row r="6" spans="1:6" x14ac:dyDescent="0.3">
      <c r="A6" s="7"/>
      <c r="B6" s="7"/>
      <c r="C6" s="7" t="s">
        <v>56</v>
      </c>
      <c r="D6" s="7"/>
    </row>
    <row r="7" spans="1:6" x14ac:dyDescent="0.3">
      <c r="A7" s="7"/>
      <c r="B7" s="7"/>
      <c r="C7" s="7" t="s">
        <v>57</v>
      </c>
      <c r="D7" s="7"/>
    </row>
    <row r="8" spans="1:6" x14ac:dyDescent="0.3">
      <c r="A8" s="7"/>
      <c r="B8" s="7"/>
      <c r="C8" s="7" t="s">
        <v>58</v>
      </c>
      <c r="D8" s="7"/>
    </row>
    <row r="10" spans="1:6" x14ac:dyDescent="0.3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</row>
    <row r="11" spans="1:6" x14ac:dyDescent="0.3">
      <c r="A11" s="3" t="s">
        <v>24</v>
      </c>
      <c r="B11" s="3" t="s">
        <v>9</v>
      </c>
      <c r="C11" s="3" t="s">
        <v>25</v>
      </c>
      <c r="D11" s="4">
        <v>44326</v>
      </c>
      <c r="E11" s="3">
        <v>50000</v>
      </c>
      <c r="F11" s="3">
        <v>5000</v>
      </c>
    </row>
    <row r="12" spans="1:6" x14ac:dyDescent="0.3">
      <c r="A12" s="3" t="s">
        <v>26</v>
      </c>
      <c r="B12" s="3" t="s">
        <v>10</v>
      </c>
      <c r="C12" s="3" t="s">
        <v>27</v>
      </c>
      <c r="D12" s="4">
        <v>43700</v>
      </c>
      <c r="E12" s="3">
        <v>60000</v>
      </c>
      <c r="F12" s="3">
        <v>6000</v>
      </c>
    </row>
    <row r="13" spans="1:6" x14ac:dyDescent="0.3">
      <c r="A13" s="3" t="s">
        <v>28</v>
      </c>
      <c r="B13" s="3" t="s">
        <v>29</v>
      </c>
      <c r="C13" s="3" t="s">
        <v>30</v>
      </c>
      <c r="D13" s="4">
        <v>43875</v>
      </c>
      <c r="E13" s="3">
        <v>55000</v>
      </c>
      <c r="F13" s="3">
        <v>5500</v>
      </c>
    </row>
    <row r="14" spans="1:6" x14ac:dyDescent="0.3">
      <c r="A14" s="3" t="s">
        <v>31</v>
      </c>
      <c r="B14" s="3" t="s">
        <v>32</v>
      </c>
      <c r="C14" s="3" t="s">
        <v>25</v>
      </c>
      <c r="D14" s="4">
        <v>43188</v>
      </c>
      <c r="E14" s="3">
        <v>52000</v>
      </c>
      <c r="F14" s="3">
        <v>5200</v>
      </c>
    </row>
    <row r="15" spans="1:6" x14ac:dyDescent="0.3">
      <c r="A15" s="3" t="s">
        <v>33</v>
      </c>
      <c r="B15" s="3" t="s">
        <v>34</v>
      </c>
      <c r="C15" s="3" t="s">
        <v>35</v>
      </c>
      <c r="D15" s="4">
        <v>44530</v>
      </c>
      <c r="E15" s="3">
        <v>48000</v>
      </c>
      <c r="F15" s="3">
        <v>4800</v>
      </c>
    </row>
    <row r="16" spans="1:6" x14ac:dyDescent="0.3">
      <c r="A16" s="3" t="s">
        <v>36</v>
      </c>
      <c r="B16" s="3" t="s">
        <v>37</v>
      </c>
      <c r="C16" s="3" t="s">
        <v>27</v>
      </c>
      <c r="D16" s="4">
        <v>42932</v>
      </c>
      <c r="E16" s="3">
        <v>62000</v>
      </c>
      <c r="F16" s="3">
        <v>6200</v>
      </c>
    </row>
    <row r="17" spans="1:6" x14ac:dyDescent="0.3">
      <c r="A17" s="3" t="s">
        <v>38</v>
      </c>
      <c r="B17" s="3" t="s">
        <v>39</v>
      </c>
      <c r="C17" s="3" t="s">
        <v>30</v>
      </c>
      <c r="D17" s="4">
        <v>44566</v>
      </c>
      <c r="E17" s="3">
        <v>53000</v>
      </c>
      <c r="F17" s="3">
        <v>5300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9946-2A31-4E7E-BB46-86F5C3B70646}">
  <dimension ref="A1:H34"/>
  <sheetViews>
    <sheetView topLeftCell="A10" zoomScale="145" zoomScaleNormal="145" workbookViewId="0">
      <selection activeCell="A15" sqref="A15:G22"/>
    </sheetView>
  </sheetViews>
  <sheetFormatPr defaultRowHeight="14.4" x14ac:dyDescent="0.3"/>
  <cols>
    <col min="1" max="1" width="13.88671875" customWidth="1"/>
    <col min="2" max="2" width="34" customWidth="1"/>
    <col min="3" max="3" width="17.77734375" customWidth="1"/>
    <col min="4" max="4" width="11.33203125" customWidth="1"/>
    <col min="6" max="6" width="8.88671875" customWidth="1"/>
    <col min="7" max="7" width="13" customWidth="1"/>
    <col min="9" max="9" width="14.33203125" customWidth="1"/>
    <col min="11" max="11" width="13.33203125" customWidth="1"/>
    <col min="12" max="12" width="12.88671875" customWidth="1"/>
  </cols>
  <sheetData>
    <row r="1" spans="1:7" x14ac:dyDescent="0.3">
      <c r="A1" s="7"/>
      <c r="B1" s="8" t="s">
        <v>59</v>
      </c>
      <c r="C1" s="9" t="s">
        <v>60</v>
      </c>
    </row>
    <row r="2" spans="1:7" x14ac:dyDescent="0.3">
      <c r="A2" s="7" t="s">
        <v>61</v>
      </c>
      <c r="B2" s="10" t="s">
        <v>62</v>
      </c>
      <c r="C2" s="7" t="s">
        <v>63</v>
      </c>
    </row>
    <row r="3" spans="1:7" x14ac:dyDescent="0.3">
      <c r="A3" s="7" t="s">
        <v>61</v>
      </c>
      <c r="B3" s="10" t="s">
        <v>64</v>
      </c>
      <c r="C3" s="7" t="s">
        <v>65</v>
      </c>
    </row>
    <row r="4" spans="1:7" ht="14.4" customHeight="1" x14ac:dyDescent="0.3">
      <c r="A4" s="7" t="s">
        <v>66</v>
      </c>
      <c r="B4" s="10" t="s">
        <v>67</v>
      </c>
      <c r="C4" s="7" t="s">
        <v>68</v>
      </c>
    </row>
    <row r="5" spans="1:7" ht="19.8" customHeight="1" x14ac:dyDescent="0.3">
      <c r="A5" s="7" t="s">
        <v>66</v>
      </c>
      <c r="B5" s="10" t="s">
        <v>69</v>
      </c>
      <c r="C5" s="7" t="s">
        <v>70</v>
      </c>
    </row>
    <row r="6" spans="1:7" ht="20.399999999999999" customHeight="1" x14ac:dyDescent="0.3">
      <c r="A6" s="7"/>
      <c r="B6" s="10" t="s">
        <v>71</v>
      </c>
      <c r="C6" s="7" t="s">
        <v>72</v>
      </c>
    </row>
    <row r="7" spans="1:7" ht="17.399999999999999" customHeight="1" x14ac:dyDescent="0.3">
      <c r="A7" s="7"/>
      <c r="B7" s="10" t="s">
        <v>73</v>
      </c>
    </row>
    <row r="8" spans="1:7" ht="16.8" customHeight="1" x14ac:dyDescent="0.3">
      <c r="A8" s="7"/>
      <c r="B8" s="10" t="s">
        <v>74</v>
      </c>
    </row>
    <row r="9" spans="1:7" ht="17.399999999999999" customHeight="1" x14ac:dyDescent="0.3">
      <c r="A9" s="7"/>
      <c r="B9" s="10" t="s">
        <v>75</v>
      </c>
    </row>
    <row r="10" spans="1:7" ht="18" customHeight="1" x14ac:dyDescent="0.3">
      <c r="A10" s="7"/>
      <c r="B10" s="13" t="s">
        <v>76</v>
      </c>
    </row>
    <row r="11" spans="1:7" ht="31.8" customHeight="1" x14ac:dyDescent="0.3">
      <c r="A11" s="7"/>
      <c r="B11" s="14" t="s">
        <v>77</v>
      </c>
    </row>
    <row r="15" spans="1:7" ht="28.8" x14ac:dyDescent="0.3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90</v>
      </c>
    </row>
    <row r="16" spans="1:7" x14ac:dyDescent="0.3">
      <c r="A16" t="s">
        <v>38</v>
      </c>
      <c r="B16" t="s">
        <v>39</v>
      </c>
      <c r="C16" t="s">
        <v>30</v>
      </c>
      <c r="D16">
        <v>44566</v>
      </c>
      <c r="E16">
        <v>53000</v>
      </c>
      <c r="F16">
        <v>5300</v>
      </c>
      <c r="G16" t="str">
        <f>TEXT(Table3[[#This Row],[Date of Joining]],"mmmm")</f>
        <v>January</v>
      </c>
    </row>
    <row r="17" spans="1:8" x14ac:dyDescent="0.3">
      <c r="A17" t="s">
        <v>28</v>
      </c>
      <c r="B17" t="s">
        <v>29</v>
      </c>
      <c r="C17" t="s">
        <v>30</v>
      </c>
      <c r="D17">
        <v>43875</v>
      </c>
      <c r="E17">
        <v>55000</v>
      </c>
      <c r="F17">
        <v>5500</v>
      </c>
      <c r="G17" t="str">
        <f>TEXT(Table3[[#This Row],[Date of Joining]],"mmmm")</f>
        <v>February</v>
      </c>
    </row>
    <row r="18" spans="1:8" x14ac:dyDescent="0.3">
      <c r="A18" t="s">
        <v>31</v>
      </c>
      <c r="B18" t="s">
        <v>32</v>
      </c>
      <c r="C18" t="s">
        <v>25</v>
      </c>
      <c r="D18">
        <v>43188</v>
      </c>
      <c r="E18">
        <v>52000</v>
      </c>
      <c r="F18">
        <v>5200</v>
      </c>
      <c r="G18" t="str">
        <f>TEXT(Table3[[#This Row],[Date of Joining]],"mmmm")</f>
        <v>March</v>
      </c>
    </row>
    <row r="19" spans="1:8" x14ac:dyDescent="0.3">
      <c r="A19" t="s">
        <v>24</v>
      </c>
      <c r="B19" t="s">
        <v>9</v>
      </c>
      <c r="C19" t="s">
        <v>25</v>
      </c>
      <c r="D19">
        <v>44326</v>
      </c>
      <c r="E19">
        <v>50000</v>
      </c>
      <c r="F19">
        <v>5000</v>
      </c>
      <c r="G19" t="str">
        <f>TEXT(Table3[[#This Row],[Date of Joining]],"mmmm")</f>
        <v>May</v>
      </c>
    </row>
    <row r="20" spans="1:8" x14ac:dyDescent="0.3">
      <c r="A20" t="s">
        <v>36</v>
      </c>
      <c r="B20" t="s">
        <v>37</v>
      </c>
      <c r="C20" t="s">
        <v>27</v>
      </c>
      <c r="D20">
        <v>42932</v>
      </c>
      <c r="E20">
        <v>62000</v>
      </c>
      <c r="F20">
        <v>6200</v>
      </c>
      <c r="G20" t="str">
        <f>TEXT(Table3[[#This Row],[Date of Joining]],"mmmm")</f>
        <v>July</v>
      </c>
    </row>
    <row r="21" spans="1:8" x14ac:dyDescent="0.3">
      <c r="A21" t="s">
        <v>26</v>
      </c>
      <c r="B21" t="s">
        <v>10</v>
      </c>
      <c r="C21" t="s">
        <v>27</v>
      </c>
      <c r="D21">
        <v>43700</v>
      </c>
      <c r="E21">
        <v>60000</v>
      </c>
      <c r="F21">
        <v>6000</v>
      </c>
      <c r="G21" t="str">
        <f>TEXT(Table3[[#This Row],[Date of Joining]],"mmmm")</f>
        <v>August</v>
      </c>
    </row>
    <row r="22" spans="1:8" x14ac:dyDescent="0.3">
      <c r="A22" t="s">
        <v>33</v>
      </c>
      <c r="B22" t="s">
        <v>34</v>
      </c>
      <c r="C22" t="s">
        <v>35</v>
      </c>
      <c r="D22">
        <v>45502</v>
      </c>
      <c r="E22">
        <v>48000</v>
      </c>
      <c r="F22">
        <v>4800</v>
      </c>
      <c r="G22" t="str">
        <f>TEXT(Table3[[#This Row],[Date of Joining]],"mmmm")</f>
        <v>July</v>
      </c>
    </row>
    <row r="27" spans="1:8" x14ac:dyDescent="0.3">
      <c r="C27" s="2"/>
      <c r="D27" s="2"/>
      <c r="E27" s="2"/>
      <c r="F27" s="2"/>
      <c r="G27" s="2"/>
      <c r="H27" s="2"/>
    </row>
    <row r="28" spans="1:8" x14ac:dyDescent="0.3">
      <c r="C28" s="3"/>
      <c r="D28" s="3"/>
      <c r="E28" s="3"/>
      <c r="F28" s="4"/>
      <c r="G28" s="3"/>
      <c r="H28" s="3"/>
    </row>
    <row r="29" spans="1:8" x14ac:dyDescent="0.3">
      <c r="C29" s="3"/>
      <c r="D29" s="3"/>
      <c r="E29" s="3"/>
      <c r="F29" s="4"/>
      <c r="G29" s="3"/>
      <c r="H29" s="3"/>
    </row>
    <row r="30" spans="1:8" x14ac:dyDescent="0.3">
      <c r="C30" s="3"/>
      <c r="D30" s="3"/>
      <c r="E30" s="3"/>
      <c r="F30" s="4"/>
      <c r="G30" s="3"/>
      <c r="H30" s="3"/>
    </row>
    <row r="31" spans="1:8" x14ac:dyDescent="0.3">
      <c r="C31" s="3"/>
      <c r="D31" s="3"/>
      <c r="E31" s="3"/>
      <c r="F31" s="4"/>
      <c r="G31" s="3"/>
      <c r="H31" s="3"/>
    </row>
    <row r="32" spans="1:8" x14ac:dyDescent="0.3">
      <c r="C32" s="3"/>
      <c r="D32" s="3"/>
      <c r="E32" s="3"/>
      <c r="F32" s="4"/>
      <c r="G32" s="3"/>
      <c r="H32" s="3"/>
    </row>
    <row r="33" spans="3:8" x14ac:dyDescent="0.3">
      <c r="C33" s="3"/>
      <c r="D33" s="3"/>
      <c r="E33" s="3"/>
      <c r="F33" s="4"/>
      <c r="G33" s="3"/>
      <c r="H33" s="3"/>
    </row>
    <row r="34" spans="3:8" x14ac:dyDescent="0.3">
      <c r="C34" s="3"/>
      <c r="D34" s="3"/>
      <c r="E34" s="3"/>
      <c r="F34" s="4"/>
      <c r="G34" s="3"/>
      <c r="H34" s="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EAA8-B8C0-4EF7-B992-3F7562990F44}">
  <dimension ref="A1:A10"/>
  <sheetViews>
    <sheetView zoomScale="160" zoomScaleNormal="160" workbookViewId="0">
      <selection activeCell="C8" sqref="C8"/>
    </sheetView>
  </sheetViews>
  <sheetFormatPr defaultRowHeight="14.4" x14ac:dyDescent="0.3"/>
  <cols>
    <col min="1" max="1" width="46.88671875" customWidth="1"/>
  </cols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ht="15.6" x14ac:dyDescent="0.3">
      <c r="A8" s="11" t="s">
        <v>79</v>
      </c>
    </row>
    <row r="9" spans="1:1" x14ac:dyDescent="0.3">
      <c r="A9" s="5"/>
    </row>
    <row r="10" spans="1:1" x14ac:dyDescent="0.3">
      <c r="A1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E7DD-12A8-445B-9485-E4D5122E91B5}">
  <dimension ref="A1:A9"/>
  <sheetViews>
    <sheetView zoomScale="235" zoomScaleNormal="235" workbookViewId="0">
      <selection activeCell="C9" sqref="C9"/>
    </sheetView>
  </sheetViews>
  <sheetFormatPr defaultRowHeight="14.4" x14ac:dyDescent="0.3"/>
  <cols>
    <col min="1" max="1" width="31.33203125" customWidth="1"/>
  </cols>
  <sheetData>
    <row r="1" spans="1:1" x14ac:dyDescent="0.3">
      <c r="A1" s="12" t="s">
        <v>80</v>
      </c>
    </row>
    <row r="2" spans="1:1" x14ac:dyDescent="0.3">
      <c r="A2" t="s">
        <v>81</v>
      </c>
    </row>
    <row r="3" spans="1:1" x14ac:dyDescent="0.3">
      <c r="A3" t="s">
        <v>82</v>
      </c>
    </row>
    <row r="4" spans="1:1" x14ac:dyDescent="0.3">
      <c r="A4" t="s">
        <v>83</v>
      </c>
    </row>
    <row r="5" spans="1:1" x14ac:dyDescent="0.3">
      <c r="A5" t="s">
        <v>84</v>
      </c>
    </row>
    <row r="6" spans="1:1" x14ac:dyDescent="0.3">
      <c r="A6" t="s">
        <v>85</v>
      </c>
    </row>
    <row r="7" spans="1:1" x14ac:dyDescent="0.3">
      <c r="A7" t="s">
        <v>86</v>
      </c>
    </row>
    <row r="8" spans="1:1" x14ac:dyDescent="0.3">
      <c r="A8" t="s">
        <v>87</v>
      </c>
    </row>
    <row r="9" spans="1:1" x14ac:dyDescent="0.3">
      <c r="A9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7C23-A47A-4A41-9970-9AD4A84D617E}">
  <dimension ref="A1:F22"/>
  <sheetViews>
    <sheetView topLeftCell="A7" workbookViewId="0">
      <selection sqref="A1:F22"/>
    </sheetView>
  </sheetViews>
  <sheetFormatPr defaultRowHeight="14.4" x14ac:dyDescent="0.3"/>
  <cols>
    <col min="1" max="1" width="17.88671875" customWidth="1"/>
    <col min="4" max="4" width="23.33203125" customWidth="1"/>
  </cols>
  <sheetData>
    <row r="1" spans="1:6" ht="28.8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3">
      <c r="A2" s="3" t="s">
        <v>24</v>
      </c>
      <c r="B2" s="3" t="s">
        <v>9</v>
      </c>
      <c r="C2" s="3" t="s">
        <v>25</v>
      </c>
      <c r="D2" s="4">
        <v>44326</v>
      </c>
      <c r="E2" s="3">
        <v>50000</v>
      </c>
      <c r="F2" s="3">
        <v>5000</v>
      </c>
    </row>
    <row r="3" spans="1:6" ht="28.8" x14ac:dyDescent="0.3">
      <c r="A3" s="3" t="s">
        <v>26</v>
      </c>
      <c r="B3" s="3" t="s">
        <v>10</v>
      </c>
      <c r="C3" s="3" t="s">
        <v>27</v>
      </c>
      <c r="D3" s="4">
        <v>43700</v>
      </c>
      <c r="E3" s="3">
        <v>60000</v>
      </c>
      <c r="F3" s="3">
        <v>6000</v>
      </c>
    </row>
    <row r="4" spans="1:6" ht="28.8" x14ac:dyDescent="0.3">
      <c r="A4" s="3" t="s">
        <v>28</v>
      </c>
      <c r="B4" s="3" t="s">
        <v>29</v>
      </c>
      <c r="C4" s="3" t="s">
        <v>30</v>
      </c>
      <c r="D4" s="4">
        <v>43875</v>
      </c>
      <c r="E4" s="3">
        <v>55000</v>
      </c>
      <c r="F4" s="3">
        <v>5500</v>
      </c>
    </row>
    <row r="5" spans="1:6" ht="28.8" x14ac:dyDescent="0.3">
      <c r="A5" s="3" t="s">
        <v>31</v>
      </c>
      <c r="B5" s="3" t="s">
        <v>32</v>
      </c>
      <c r="C5" s="3" t="s">
        <v>25</v>
      </c>
      <c r="D5" s="4">
        <v>43188</v>
      </c>
      <c r="E5" s="3">
        <v>52000</v>
      </c>
      <c r="F5" s="3">
        <v>5200</v>
      </c>
    </row>
    <row r="6" spans="1:6" ht="28.8" x14ac:dyDescent="0.3">
      <c r="A6" s="3" t="s">
        <v>33</v>
      </c>
      <c r="B6" s="3" t="s">
        <v>34</v>
      </c>
      <c r="C6" s="3" t="s">
        <v>35</v>
      </c>
      <c r="D6" s="4">
        <v>44530</v>
      </c>
      <c r="E6" s="3">
        <v>48000</v>
      </c>
      <c r="F6" s="3">
        <v>4800</v>
      </c>
    </row>
    <row r="7" spans="1:6" x14ac:dyDescent="0.3">
      <c r="A7" s="3" t="s">
        <v>36</v>
      </c>
      <c r="B7" s="3" t="s">
        <v>37</v>
      </c>
      <c r="C7" s="3" t="s">
        <v>27</v>
      </c>
      <c r="D7" s="4">
        <v>42932</v>
      </c>
      <c r="E7" s="3">
        <v>62000</v>
      </c>
      <c r="F7" s="3">
        <v>6200</v>
      </c>
    </row>
    <row r="8" spans="1:6" ht="28.8" x14ac:dyDescent="0.3">
      <c r="A8" s="3" t="s">
        <v>38</v>
      </c>
      <c r="B8" s="3" t="s">
        <v>39</v>
      </c>
      <c r="C8" s="3" t="s">
        <v>30</v>
      </c>
      <c r="D8" s="4">
        <v>44566</v>
      </c>
      <c r="E8" s="3">
        <v>53000</v>
      </c>
      <c r="F8" s="3">
        <v>5300</v>
      </c>
    </row>
    <row r="9" spans="1:6" x14ac:dyDescent="0.3">
      <c r="A9" s="3" t="s">
        <v>24</v>
      </c>
      <c r="B9" s="3" t="s">
        <v>9</v>
      </c>
      <c r="C9" s="3" t="s">
        <v>25</v>
      </c>
      <c r="D9" s="4">
        <v>44326</v>
      </c>
      <c r="E9" s="3">
        <v>50000</v>
      </c>
      <c r="F9" s="3">
        <v>5000</v>
      </c>
    </row>
    <row r="10" spans="1:6" ht="28.8" x14ac:dyDescent="0.3">
      <c r="A10" s="3" t="s">
        <v>26</v>
      </c>
      <c r="B10" s="3" t="s">
        <v>10</v>
      </c>
      <c r="C10" s="3" t="s">
        <v>27</v>
      </c>
      <c r="D10" s="4">
        <v>43700</v>
      </c>
      <c r="E10" s="3">
        <v>60000</v>
      </c>
      <c r="F10" s="3">
        <v>6000</v>
      </c>
    </row>
    <row r="11" spans="1:6" ht="28.8" x14ac:dyDescent="0.3">
      <c r="A11" s="3" t="s">
        <v>28</v>
      </c>
      <c r="B11" s="3" t="s">
        <v>29</v>
      </c>
      <c r="C11" s="3" t="s">
        <v>30</v>
      </c>
      <c r="D11" s="4">
        <v>43875</v>
      </c>
      <c r="E11" s="3">
        <v>55000</v>
      </c>
      <c r="F11" s="3">
        <v>5500</v>
      </c>
    </row>
    <row r="12" spans="1:6" ht="28.8" x14ac:dyDescent="0.3">
      <c r="A12" s="3" t="s">
        <v>31</v>
      </c>
      <c r="B12" s="3" t="s">
        <v>32</v>
      </c>
      <c r="C12" s="3" t="s">
        <v>25</v>
      </c>
      <c r="D12" s="4">
        <v>43188</v>
      </c>
      <c r="E12" s="3">
        <v>52000</v>
      </c>
      <c r="F12" s="3">
        <v>5200</v>
      </c>
    </row>
    <row r="13" spans="1:6" ht="28.8" x14ac:dyDescent="0.3">
      <c r="A13" s="3" t="s">
        <v>33</v>
      </c>
      <c r="B13" s="3" t="s">
        <v>34</v>
      </c>
      <c r="C13" s="3" t="s">
        <v>35</v>
      </c>
      <c r="D13" s="4">
        <v>44530</v>
      </c>
      <c r="E13" s="3">
        <v>48000</v>
      </c>
      <c r="F13" s="3">
        <v>4800</v>
      </c>
    </row>
    <row r="14" spans="1:6" x14ac:dyDescent="0.3">
      <c r="A14" s="3" t="s">
        <v>36</v>
      </c>
      <c r="B14" s="3" t="s">
        <v>37</v>
      </c>
      <c r="C14" s="3" t="s">
        <v>27</v>
      </c>
      <c r="D14" s="4">
        <v>42932</v>
      </c>
      <c r="E14" s="3">
        <v>62000</v>
      </c>
      <c r="F14" s="3">
        <v>6200</v>
      </c>
    </row>
    <row r="15" spans="1:6" ht="28.8" x14ac:dyDescent="0.3">
      <c r="A15" s="3" t="s">
        <v>38</v>
      </c>
      <c r="B15" s="3" t="s">
        <v>39</v>
      </c>
      <c r="C15" s="3" t="s">
        <v>30</v>
      </c>
      <c r="D15" s="4">
        <v>44566</v>
      </c>
      <c r="E15" s="3">
        <v>53000</v>
      </c>
      <c r="F15" s="3">
        <v>5300</v>
      </c>
    </row>
    <row r="16" spans="1:6" x14ac:dyDescent="0.3">
      <c r="A16" s="3" t="s">
        <v>24</v>
      </c>
      <c r="B16" s="3" t="s">
        <v>9</v>
      </c>
      <c r="C16" s="3" t="s">
        <v>25</v>
      </c>
      <c r="D16" s="4">
        <v>44326</v>
      </c>
      <c r="E16" s="3">
        <v>50000</v>
      </c>
      <c r="F16" s="3">
        <v>5000</v>
      </c>
    </row>
    <row r="17" spans="1:6" ht="28.8" x14ac:dyDescent="0.3">
      <c r="A17" s="3" t="s">
        <v>26</v>
      </c>
      <c r="B17" s="3" t="s">
        <v>10</v>
      </c>
      <c r="C17" s="3" t="s">
        <v>27</v>
      </c>
      <c r="D17" s="4">
        <v>43700</v>
      </c>
      <c r="E17" s="3">
        <v>60000</v>
      </c>
      <c r="F17" s="3">
        <v>6000</v>
      </c>
    </row>
    <row r="18" spans="1:6" ht="28.8" x14ac:dyDescent="0.3">
      <c r="A18" s="3" t="s">
        <v>28</v>
      </c>
      <c r="B18" s="3" t="s">
        <v>29</v>
      </c>
      <c r="C18" s="3" t="s">
        <v>30</v>
      </c>
      <c r="D18" s="4">
        <v>43875</v>
      </c>
      <c r="E18" s="3">
        <v>55000</v>
      </c>
      <c r="F18" s="3">
        <v>5500</v>
      </c>
    </row>
    <row r="19" spans="1:6" ht="28.8" x14ac:dyDescent="0.3">
      <c r="A19" s="3" t="s">
        <v>31</v>
      </c>
      <c r="B19" s="3" t="s">
        <v>32</v>
      </c>
      <c r="C19" s="3" t="s">
        <v>25</v>
      </c>
      <c r="D19" s="4">
        <v>43188</v>
      </c>
      <c r="E19" s="3">
        <v>52000</v>
      </c>
      <c r="F19" s="3">
        <v>5200</v>
      </c>
    </row>
    <row r="20" spans="1:6" ht="28.8" x14ac:dyDescent="0.3">
      <c r="A20" s="3" t="s">
        <v>33</v>
      </c>
      <c r="B20" s="3" t="s">
        <v>34</v>
      </c>
      <c r="C20" s="3" t="s">
        <v>35</v>
      </c>
      <c r="D20" s="4">
        <v>44530</v>
      </c>
      <c r="E20" s="3">
        <v>48000</v>
      </c>
      <c r="F20" s="3">
        <v>4800</v>
      </c>
    </row>
    <row r="21" spans="1:6" x14ac:dyDescent="0.3">
      <c r="A21" s="3" t="s">
        <v>36</v>
      </c>
      <c r="B21" s="3" t="s">
        <v>37</v>
      </c>
      <c r="C21" s="3" t="s">
        <v>27</v>
      </c>
      <c r="D21" s="4">
        <v>42932</v>
      </c>
      <c r="E21" s="3">
        <v>62000</v>
      </c>
      <c r="F21" s="3">
        <v>6200</v>
      </c>
    </row>
    <row r="22" spans="1:6" ht="28.8" x14ac:dyDescent="0.3">
      <c r="A22" s="3" t="s">
        <v>38</v>
      </c>
      <c r="B22" s="3" t="s">
        <v>39</v>
      </c>
      <c r="C22" s="3" t="s">
        <v>30</v>
      </c>
      <c r="D22" s="4">
        <v>44566</v>
      </c>
      <c r="E22" s="3">
        <v>53000</v>
      </c>
      <c r="F22" s="3">
        <v>5300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BAF0-F5CC-4DED-B1F6-5088F56122E4}">
  <dimension ref="A1:F22"/>
  <sheetViews>
    <sheetView workbookViewId="0">
      <selection activeCell="H20" sqref="H20"/>
    </sheetView>
  </sheetViews>
  <sheetFormatPr defaultRowHeight="14.4" x14ac:dyDescent="0.3"/>
  <cols>
    <col min="1" max="1" width="13.44140625" customWidth="1"/>
    <col min="3" max="3" width="13" customWidth="1"/>
    <col min="4" max="5" width="20.88671875" customWidth="1"/>
  </cols>
  <sheetData>
    <row r="1" spans="1:6" ht="28.8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3">
      <c r="A2" s="3" t="s">
        <v>24</v>
      </c>
      <c r="B2" s="3" t="s">
        <v>9</v>
      </c>
      <c r="C2" s="3" t="s">
        <v>25</v>
      </c>
      <c r="D2" s="4">
        <v>44326</v>
      </c>
      <c r="E2" s="3">
        <v>50000</v>
      </c>
      <c r="F2" s="3">
        <v>5000</v>
      </c>
    </row>
    <row r="3" spans="1:6" ht="28.8" x14ac:dyDescent="0.3">
      <c r="A3" s="3" t="s">
        <v>26</v>
      </c>
      <c r="B3" s="3" t="s">
        <v>10</v>
      </c>
      <c r="C3" s="3" t="s">
        <v>27</v>
      </c>
      <c r="D3" s="4">
        <v>43700</v>
      </c>
      <c r="E3" s="3">
        <v>60000</v>
      </c>
      <c r="F3" s="3">
        <v>6000</v>
      </c>
    </row>
    <row r="4" spans="1:6" ht="28.8" x14ac:dyDescent="0.3">
      <c r="A4" s="3" t="s">
        <v>28</v>
      </c>
      <c r="B4" s="3" t="s">
        <v>29</v>
      </c>
      <c r="C4" s="3" t="s">
        <v>30</v>
      </c>
      <c r="D4" s="4">
        <v>43875</v>
      </c>
      <c r="E4" s="3">
        <v>55000</v>
      </c>
      <c r="F4" s="3">
        <v>5500</v>
      </c>
    </row>
    <row r="5" spans="1:6" ht="28.8" x14ac:dyDescent="0.3">
      <c r="A5" s="3" t="s">
        <v>31</v>
      </c>
      <c r="B5" s="3" t="s">
        <v>32</v>
      </c>
      <c r="C5" s="3" t="s">
        <v>25</v>
      </c>
      <c r="D5" s="4">
        <v>43188</v>
      </c>
      <c r="E5" s="3">
        <v>52000</v>
      </c>
      <c r="F5" s="3">
        <v>5200</v>
      </c>
    </row>
    <row r="6" spans="1:6" ht="28.8" x14ac:dyDescent="0.3">
      <c r="A6" s="3" t="s">
        <v>33</v>
      </c>
      <c r="B6" s="3" t="s">
        <v>34</v>
      </c>
      <c r="C6" s="3" t="s">
        <v>35</v>
      </c>
      <c r="D6" s="4">
        <v>44530</v>
      </c>
      <c r="E6" s="3">
        <v>48000</v>
      </c>
      <c r="F6" s="3">
        <v>4800</v>
      </c>
    </row>
    <row r="7" spans="1:6" x14ac:dyDescent="0.3">
      <c r="A7" s="3" t="s">
        <v>36</v>
      </c>
      <c r="B7" s="3" t="s">
        <v>37</v>
      </c>
      <c r="C7" s="3" t="s">
        <v>27</v>
      </c>
      <c r="D7" s="4">
        <v>42932</v>
      </c>
      <c r="E7" s="3">
        <v>62000</v>
      </c>
      <c r="F7" s="3">
        <v>6200</v>
      </c>
    </row>
    <row r="8" spans="1:6" ht="28.8" x14ac:dyDescent="0.3">
      <c r="A8" s="3" t="s">
        <v>38</v>
      </c>
      <c r="B8" s="3" t="s">
        <v>39</v>
      </c>
      <c r="C8" s="3" t="s">
        <v>30</v>
      </c>
      <c r="D8" s="4">
        <v>44566</v>
      </c>
      <c r="E8" s="3">
        <v>53000</v>
      </c>
      <c r="F8" s="3">
        <v>5300</v>
      </c>
    </row>
    <row r="9" spans="1:6" x14ac:dyDescent="0.3">
      <c r="A9" s="3" t="s">
        <v>24</v>
      </c>
      <c r="B9" s="3" t="s">
        <v>9</v>
      </c>
      <c r="C9" s="3" t="s">
        <v>25</v>
      </c>
      <c r="D9" s="4">
        <v>44326</v>
      </c>
      <c r="E9" s="3">
        <v>50000</v>
      </c>
      <c r="F9" s="3">
        <v>5000</v>
      </c>
    </row>
    <row r="10" spans="1:6" ht="28.8" x14ac:dyDescent="0.3">
      <c r="A10" s="3" t="s">
        <v>26</v>
      </c>
      <c r="B10" s="3" t="s">
        <v>10</v>
      </c>
      <c r="C10" s="3" t="s">
        <v>27</v>
      </c>
      <c r="D10" s="4">
        <v>43700</v>
      </c>
      <c r="E10" s="3">
        <v>60000</v>
      </c>
      <c r="F10" s="3">
        <v>6000</v>
      </c>
    </row>
    <row r="11" spans="1:6" ht="28.8" x14ac:dyDescent="0.3">
      <c r="A11" s="3" t="s">
        <v>28</v>
      </c>
      <c r="B11" s="3" t="s">
        <v>29</v>
      </c>
      <c r="C11" s="3" t="s">
        <v>30</v>
      </c>
      <c r="D11" s="4">
        <v>43875</v>
      </c>
      <c r="E11" s="3">
        <v>55000</v>
      </c>
      <c r="F11" s="3">
        <v>5500</v>
      </c>
    </row>
    <row r="12" spans="1:6" ht="28.8" x14ac:dyDescent="0.3">
      <c r="A12" s="3" t="s">
        <v>31</v>
      </c>
      <c r="B12" s="3" t="s">
        <v>32</v>
      </c>
      <c r="C12" s="3" t="s">
        <v>25</v>
      </c>
      <c r="D12" s="4">
        <v>43188</v>
      </c>
      <c r="E12" s="3">
        <v>52000</v>
      </c>
      <c r="F12" s="3">
        <v>5200</v>
      </c>
    </row>
    <row r="13" spans="1:6" ht="28.8" x14ac:dyDescent="0.3">
      <c r="A13" s="3" t="s">
        <v>33</v>
      </c>
      <c r="B13" s="3" t="s">
        <v>34</v>
      </c>
      <c r="C13" s="3" t="s">
        <v>35</v>
      </c>
      <c r="D13" s="4">
        <v>44530</v>
      </c>
      <c r="E13" s="3">
        <v>48000</v>
      </c>
      <c r="F13" s="3">
        <v>4800</v>
      </c>
    </row>
    <row r="14" spans="1:6" x14ac:dyDescent="0.3">
      <c r="A14" s="3" t="s">
        <v>36</v>
      </c>
      <c r="B14" s="3" t="s">
        <v>37</v>
      </c>
      <c r="C14" s="3" t="s">
        <v>27</v>
      </c>
      <c r="D14" s="4">
        <v>42932</v>
      </c>
      <c r="E14" s="3">
        <v>62000</v>
      </c>
      <c r="F14" s="3">
        <v>6200</v>
      </c>
    </row>
    <row r="15" spans="1:6" ht="28.8" x14ac:dyDescent="0.3">
      <c r="A15" s="3" t="s">
        <v>38</v>
      </c>
      <c r="B15" s="3" t="s">
        <v>39</v>
      </c>
      <c r="C15" s="3" t="s">
        <v>30</v>
      </c>
      <c r="D15" s="4">
        <v>44566</v>
      </c>
      <c r="E15" s="3">
        <v>53000</v>
      </c>
      <c r="F15" s="3">
        <v>5300</v>
      </c>
    </row>
    <row r="16" spans="1:6" x14ac:dyDescent="0.3">
      <c r="A16" s="3" t="s">
        <v>24</v>
      </c>
      <c r="B16" s="3" t="s">
        <v>9</v>
      </c>
      <c r="C16" s="3" t="s">
        <v>25</v>
      </c>
      <c r="D16" s="4">
        <v>44326</v>
      </c>
      <c r="E16" s="3">
        <v>50000</v>
      </c>
      <c r="F16" s="3">
        <v>5000</v>
      </c>
    </row>
    <row r="17" spans="1:6" ht="28.8" x14ac:dyDescent="0.3">
      <c r="A17" s="3" t="s">
        <v>26</v>
      </c>
      <c r="B17" s="3" t="s">
        <v>10</v>
      </c>
      <c r="C17" s="3" t="s">
        <v>27</v>
      </c>
      <c r="D17" s="4">
        <v>43700</v>
      </c>
      <c r="E17" s="3">
        <v>60000</v>
      </c>
      <c r="F17" s="3">
        <v>6000</v>
      </c>
    </row>
    <row r="18" spans="1:6" ht="28.8" x14ac:dyDescent="0.3">
      <c r="A18" s="3" t="s">
        <v>28</v>
      </c>
      <c r="B18" s="3" t="s">
        <v>29</v>
      </c>
      <c r="C18" s="3" t="s">
        <v>30</v>
      </c>
      <c r="D18" s="4">
        <v>43875</v>
      </c>
      <c r="E18" s="3">
        <v>55000</v>
      </c>
      <c r="F18" s="3">
        <v>5500</v>
      </c>
    </row>
    <row r="19" spans="1:6" ht="28.8" x14ac:dyDescent="0.3">
      <c r="A19" s="3" t="s">
        <v>31</v>
      </c>
      <c r="B19" s="3" t="s">
        <v>32</v>
      </c>
      <c r="C19" s="3" t="s">
        <v>25</v>
      </c>
      <c r="D19" s="4">
        <v>43188</v>
      </c>
      <c r="E19" s="3">
        <v>52000</v>
      </c>
      <c r="F19" s="3">
        <v>5200</v>
      </c>
    </row>
    <row r="20" spans="1:6" ht="28.8" x14ac:dyDescent="0.3">
      <c r="A20" s="3" t="s">
        <v>33</v>
      </c>
      <c r="B20" s="3" t="s">
        <v>34</v>
      </c>
      <c r="C20" s="3" t="s">
        <v>35</v>
      </c>
      <c r="D20" s="4">
        <v>44530</v>
      </c>
      <c r="E20" s="3">
        <v>48000</v>
      </c>
      <c r="F20" s="3">
        <v>4800</v>
      </c>
    </row>
    <row r="21" spans="1:6" x14ac:dyDescent="0.3">
      <c r="A21" s="3" t="s">
        <v>36</v>
      </c>
      <c r="B21" s="3" t="s">
        <v>37</v>
      </c>
      <c r="C21" s="3" t="s">
        <v>27</v>
      </c>
      <c r="D21" s="4">
        <v>42932</v>
      </c>
      <c r="E21" s="3">
        <v>62000</v>
      </c>
      <c r="F21" s="3">
        <v>6200</v>
      </c>
    </row>
    <row r="22" spans="1:6" ht="28.8" x14ac:dyDescent="0.3">
      <c r="A22" s="3" t="s">
        <v>38</v>
      </c>
      <c r="B22" s="3" t="s">
        <v>39</v>
      </c>
      <c r="C22" s="3" t="s">
        <v>30</v>
      </c>
      <c r="D22" s="4">
        <v>44566</v>
      </c>
      <c r="E22" s="3">
        <v>53000</v>
      </c>
      <c r="F22" s="3">
        <v>5300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AD9E-5E89-46D5-A083-F066C8A95410}">
  <dimension ref="A1:O15"/>
  <sheetViews>
    <sheetView zoomScale="145" zoomScaleNormal="145" workbookViewId="0">
      <selection activeCell="C15" sqref="C15"/>
    </sheetView>
  </sheetViews>
  <sheetFormatPr defaultRowHeight="14.4" x14ac:dyDescent="0.3"/>
  <cols>
    <col min="1" max="1" width="15.21875" customWidth="1"/>
    <col min="2" max="2" width="15.5546875" customWidth="1"/>
    <col min="3" max="3" width="14.44140625" customWidth="1"/>
    <col min="4" max="4" width="30" customWidth="1"/>
    <col min="5" max="5" width="15.6640625" customWidth="1"/>
    <col min="6" max="6" width="10.88671875" customWidth="1"/>
    <col min="7" max="7" width="10.5546875" customWidth="1"/>
    <col min="9" max="9" width="11.21875" customWidth="1"/>
    <col min="10" max="10" width="13.44140625" customWidth="1"/>
    <col min="12" max="12" width="14" customWidth="1"/>
  </cols>
  <sheetData>
    <row r="1" spans="1:15" ht="28.8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90</v>
      </c>
      <c r="I1" s="17" t="s">
        <v>20</v>
      </c>
    </row>
    <row r="2" spans="1:15" x14ac:dyDescent="0.3">
      <c r="A2" t="s">
        <v>38</v>
      </c>
      <c r="B2" t="s">
        <v>39</v>
      </c>
      <c r="C2" t="s">
        <v>30</v>
      </c>
      <c r="D2" s="16">
        <v>44566</v>
      </c>
      <c r="E2">
        <v>53000</v>
      </c>
      <c r="F2">
        <v>5300</v>
      </c>
      <c r="G2" t="str">
        <f>TEXT(Table33[[#This Row],[Date of Joining]],"mmmm")</f>
        <v>January</v>
      </c>
      <c r="I2" s="15" t="s">
        <v>30</v>
      </c>
    </row>
    <row r="3" spans="1:15" x14ac:dyDescent="0.3">
      <c r="A3" t="s">
        <v>28</v>
      </c>
      <c r="B3" t="s">
        <v>29</v>
      </c>
      <c r="C3" t="s">
        <v>30</v>
      </c>
      <c r="D3" s="16">
        <v>43875</v>
      </c>
      <c r="E3">
        <v>55000</v>
      </c>
      <c r="F3">
        <v>5500</v>
      </c>
      <c r="G3" t="str">
        <f>TEXT(Table33[[#This Row],[Date of Joining]],"mmmm")</f>
        <v>February</v>
      </c>
    </row>
    <row r="4" spans="1:15" ht="28.8" x14ac:dyDescent="0.3">
      <c r="A4" t="s">
        <v>31</v>
      </c>
      <c r="B4" t="s">
        <v>32</v>
      </c>
      <c r="C4" t="s">
        <v>25</v>
      </c>
      <c r="D4" s="16">
        <v>43188</v>
      </c>
      <c r="E4">
        <v>52000</v>
      </c>
      <c r="F4">
        <v>5200</v>
      </c>
      <c r="G4" t="str">
        <f>TEXT(Table33[[#This Row],[Date of Joining]],"mmmm")</f>
        <v>March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90</v>
      </c>
    </row>
    <row r="5" spans="1:15" x14ac:dyDescent="0.3">
      <c r="A5" t="s">
        <v>24</v>
      </c>
      <c r="B5" t="s">
        <v>9</v>
      </c>
      <c r="C5" t="s">
        <v>25</v>
      </c>
      <c r="D5" s="16">
        <v>44326</v>
      </c>
      <c r="E5">
        <v>50000</v>
      </c>
      <c r="F5">
        <v>5000</v>
      </c>
      <c r="G5" t="str">
        <f>TEXT(Table33[[#This Row],[Date of Joining]],"mmmm")</f>
        <v>May</v>
      </c>
      <c r="I5" t="s">
        <v>38</v>
      </c>
      <c r="J5" t="s">
        <v>39</v>
      </c>
      <c r="K5" t="s">
        <v>30</v>
      </c>
      <c r="L5" s="16">
        <v>44566</v>
      </c>
      <c r="M5">
        <v>53000</v>
      </c>
      <c r="N5">
        <v>5300</v>
      </c>
      <c r="O5" t="s">
        <v>91</v>
      </c>
    </row>
    <row r="6" spans="1:15" x14ac:dyDescent="0.3">
      <c r="A6" t="s">
        <v>36</v>
      </c>
      <c r="B6" t="s">
        <v>37</v>
      </c>
      <c r="C6" t="s">
        <v>27</v>
      </c>
      <c r="D6" s="16">
        <v>42932</v>
      </c>
      <c r="E6">
        <v>62000</v>
      </c>
      <c r="F6">
        <v>6200</v>
      </c>
      <c r="G6" t="str">
        <f>TEXT(Table33[[#This Row],[Date of Joining]],"mmmm")</f>
        <v>July</v>
      </c>
      <c r="I6" t="s">
        <v>28</v>
      </c>
      <c r="J6" t="s">
        <v>29</v>
      </c>
      <c r="K6" t="s">
        <v>30</v>
      </c>
      <c r="L6" s="16">
        <v>43875</v>
      </c>
      <c r="M6">
        <v>55000</v>
      </c>
      <c r="N6">
        <v>5500</v>
      </c>
      <c r="O6" t="s">
        <v>92</v>
      </c>
    </row>
    <row r="7" spans="1:15" x14ac:dyDescent="0.3">
      <c r="A7" t="s">
        <v>26</v>
      </c>
      <c r="B7" t="s">
        <v>10</v>
      </c>
      <c r="C7" t="s">
        <v>27</v>
      </c>
      <c r="D7" s="16">
        <v>43700</v>
      </c>
      <c r="E7">
        <v>60000</v>
      </c>
      <c r="F7">
        <v>6000</v>
      </c>
      <c r="G7" t="str">
        <f>TEXT(Table33[[#This Row],[Date of Joining]],"mmmm")</f>
        <v>August</v>
      </c>
    </row>
    <row r="8" spans="1:15" x14ac:dyDescent="0.3">
      <c r="A8" t="s">
        <v>33</v>
      </c>
      <c r="B8" t="s">
        <v>34</v>
      </c>
      <c r="C8" t="s">
        <v>35</v>
      </c>
      <c r="D8" s="16">
        <v>45502</v>
      </c>
      <c r="E8">
        <v>48000</v>
      </c>
      <c r="F8">
        <v>4800</v>
      </c>
      <c r="G8" t="str">
        <f>TEXT(Table33[[#This Row],[Date of Joining]],"mmmm")</f>
        <v>July</v>
      </c>
    </row>
    <row r="11" spans="1:15" x14ac:dyDescent="0.3">
      <c r="B11" s="17" t="s">
        <v>19</v>
      </c>
    </row>
    <row r="12" spans="1:15" x14ac:dyDescent="0.3">
      <c r="B12" s="15" t="s">
        <v>37</v>
      </c>
    </row>
    <row r="14" spans="1:15" ht="28.8" x14ac:dyDescent="0.3"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23</v>
      </c>
      <c r="H14" s="2" t="s">
        <v>90</v>
      </c>
    </row>
    <row r="15" spans="1:15" x14ac:dyDescent="0.3">
      <c r="B15" t="s">
        <v>36</v>
      </c>
      <c r="C15" t="s">
        <v>37</v>
      </c>
      <c r="D15" t="s">
        <v>27</v>
      </c>
      <c r="E15" s="16">
        <v>42932</v>
      </c>
      <c r="F15">
        <v>62000</v>
      </c>
      <c r="G15">
        <v>6200</v>
      </c>
      <c r="H15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Topics</vt:lpstr>
      <vt:lpstr>Data</vt:lpstr>
      <vt:lpstr>Coverting to table</vt:lpstr>
      <vt:lpstr>Sort Advance</vt:lpstr>
      <vt:lpstr>Tasks</vt:lpstr>
      <vt:lpstr>Sheet11</vt:lpstr>
      <vt:lpstr>Sheet1</vt:lpstr>
      <vt:lpstr>Sheet2</vt:lpstr>
      <vt:lpstr>Sheet3</vt:lpstr>
      <vt:lpstr>Sheet3!Criteria</vt:lpstr>
      <vt:lpstr>'Sort Advance'!Criteria</vt:lpstr>
      <vt:lpstr>Sheet3!Extract</vt:lpstr>
      <vt:lpstr>'Sort Advance'!Extract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Mumbai</dc:creator>
  <cp:lastModifiedBy>akhilesh nishad</cp:lastModifiedBy>
  <dcterms:created xsi:type="dcterms:W3CDTF">2024-07-29T07:38:22Z</dcterms:created>
  <dcterms:modified xsi:type="dcterms:W3CDTF">2025-05-14T11:27:43Z</dcterms:modified>
</cp:coreProperties>
</file>