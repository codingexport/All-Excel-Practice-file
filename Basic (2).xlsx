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hil\Downloads\"/>
    </mc:Choice>
  </mc:AlternateContent>
  <xr:revisionPtr revIDLastSave="0" documentId="13_ncr:1_{75AD6463-5FFE-4D62-B700-0DBAA1ADD908}" xr6:coauthVersionLast="47" xr6:coauthVersionMax="47" xr10:uidLastSave="{00000000-0000-0000-0000-000000000000}"/>
  <bookViews>
    <workbookView xWindow="-120" yWindow="-120" windowWidth="24240" windowHeight="13740" tabRatio="955" firstSheet="1" activeTab="1" xr2:uid="{804A284F-30AB-4AA4-80D9-3863464D9C5B}"/>
  </bookViews>
  <sheets>
    <sheet name="Introduction" sheetId="13" r:id="rId1"/>
    <sheet name="Day-1" sheetId="1" r:id="rId2"/>
    <sheet name="Transpose" sheetId="2" r:id="rId3"/>
    <sheet name="Paste Link" sheetId="3" r:id="rId4"/>
    <sheet name="Skip Blank" sheetId="4" r:id="rId5"/>
    <sheet name="Paste Special Operations" sheetId="5" r:id="rId6"/>
    <sheet name="Math &amp; Trigo" sheetId="6" r:id="rId7"/>
    <sheet name="IFS Functions" sheetId="7" r:id="rId8"/>
    <sheet name="Referencing" sheetId="8" r:id="rId9"/>
    <sheet name="Mixed Referencing" sheetId="9" r:id="rId10"/>
    <sheet name="Naming Range" sheetId="10" r:id="rId11"/>
    <sheet name="Date &amp; Time" sheetId="11" r:id="rId12"/>
    <sheet name="Fill Series" sheetId="16" r:id="rId13"/>
    <sheet name="Information" sheetId="12" r:id="rId14"/>
    <sheet name="Text To Dolumn" sheetId="14" r:id="rId15"/>
    <sheet name="Flash Fill" sheetId="1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7" l="1"/>
  <c r="J18" i="7"/>
  <c r="H2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J4" i="7"/>
  <c r="J3" i="7"/>
  <c r="R3" i="6"/>
  <c r="R4" i="6"/>
  <c r="R5" i="6"/>
  <c r="R6" i="6"/>
  <c r="R7" i="6"/>
  <c r="R8" i="6"/>
  <c r="R9" i="6"/>
  <c r="R2" i="6"/>
  <c r="Y3" i="6"/>
  <c r="Y4" i="6"/>
  <c r="Y5" i="6"/>
  <c r="Y6" i="6"/>
  <c r="Y7" i="6"/>
  <c r="Y8" i="6"/>
  <c r="Y9" i="6"/>
  <c r="Y2" i="6"/>
  <c r="V3" i="6"/>
  <c r="V4" i="6"/>
  <c r="V5" i="6"/>
  <c r="V6" i="6"/>
  <c r="V7" i="6"/>
  <c r="V8" i="6"/>
  <c r="V9" i="6"/>
  <c r="V2" i="6"/>
  <c r="O3" i="6"/>
  <c r="O4" i="6"/>
  <c r="O5" i="6"/>
  <c r="O6" i="6"/>
  <c r="O7" i="6"/>
  <c r="O8" i="6"/>
  <c r="O9" i="6"/>
  <c r="O2" i="6"/>
  <c r="L3" i="6"/>
  <c r="L4" i="6"/>
  <c r="L5" i="6"/>
  <c r="L6" i="6"/>
  <c r="L7" i="6"/>
  <c r="L8" i="6"/>
  <c r="L9" i="6"/>
  <c r="L2" i="6"/>
  <c r="I3" i="6"/>
  <c r="I4" i="6"/>
  <c r="I5" i="6"/>
  <c r="I6" i="6"/>
  <c r="I7" i="6"/>
  <c r="I8" i="6"/>
  <c r="I9" i="6"/>
  <c r="I2" i="6"/>
  <c r="F3" i="5"/>
  <c r="F4" i="5"/>
  <c r="F5" i="5"/>
  <c r="F6" i="5"/>
  <c r="F7" i="5"/>
  <c r="F8" i="5"/>
  <c r="F9" i="5"/>
  <c r="F10" i="5"/>
  <c r="F2" i="5"/>
  <c r="E3" i="6"/>
  <c r="E4" i="6"/>
  <c r="E5" i="6"/>
  <c r="E6" i="6"/>
  <c r="E7" i="6"/>
  <c r="E8" i="6"/>
  <c r="E9" i="6"/>
  <c r="E10" i="6"/>
  <c r="E2" i="6"/>
  <c r="D3" i="6"/>
  <c r="D4" i="6"/>
  <c r="D5" i="6"/>
  <c r="D6" i="6"/>
  <c r="D7" i="6"/>
  <c r="D8" i="6"/>
  <c r="D9" i="6"/>
  <c r="D10" i="6"/>
  <c r="D2" i="6"/>
  <c r="C3" i="6"/>
  <c r="C4" i="6"/>
  <c r="C5" i="6"/>
  <c r="C6" i="6"/>
  <c r="C7" i="6"/>
  <c r="C8" i="6"/>
  <c r="C9" i="6"/>
  <c r="C10" i="6"/>
  <c r="C2" i="6"/>
  <c r="B3" i="6"/>
  <c r="B4" i="6"/>
  <c r="B5" i="6"/>
  <c r="B6" i="6"/>
  <c r="B7" i="6"/>
  <c r="B8" i="6"/>
  <c r="B9" i="6"/>
  <c r="B10" i="6"/>
  <c r="B2" i="6"/>
  <c r="G1" i="3"/>
  <c r="G2" i="3"/>
  <c r="G3" i="3"/>
  <c r="G4" i="3"/>
  <c r="G5" i="3"/>
  <c r="G6" i="3"/>
  <c r="G7" i="3"/>
  <c r="G8" i="3"/>
  <c r="G9" i="3"/>
  <c r="G10" i="3"/>
  <c r="G11" i="3"/>
  <c r="O3" i="1"/>
  <c r="O4" i="1"/>
  <c r="O5" i="1"/>
  <c r="O6" i="1"/>
  <c r="O7" i="1"/>
  <c r="O8" i="1"/>
  <c r="O9" i="1"/>
  <c r="O10" i="1"/>
  <c r="O11" i="1"/>
  <c r="O2" i="1"/>
  <c r="N3" i="1"/>
  <c r="N4" i="1"/>
  <c r="N5" i="1"/>
  <c r="N6" i="1"/>
  <c r="N7" i="1"/>
  <c r="N8" i="1"/>
  <c r="N9" i="1"/>
  <c r="N10" i="1"/>
  <c r="N11" i="1"/>
  <c r="N2" i="1"/>
  <c r="A6" i="12"/>
</calcChain>
</file>

<file path=xl/sharedStrings.xml><?xml version="1.0" encoding="utf-8"?>
<sst xmlns="http://schemas.openxmlformats.org/spreadsheetml/2006/main" count="525" uniqueCount="329">
  <si>
    <t>Employee Name</t>
  </si>
  <si>
    <t>JP Kumar</t>
  </si>
  <si>
    <t>Anjali Thakur</t>
  </si>
  <si>
    <t>Priya Agarwal</t>
  </si>
  <si>
    <t>R Vasu</t>
  </si>
  <si>
    <t>Sanjay Gupta</t>
  </si>
  <si>
    <t>Jharna Biswal</t>
  </si>
  <si>
    <t>Prakash Dutta</t>
  </si>
  <si>
    <t>Manisha Guha</t>
  </si>
  <si>
    <t>Arjun Jain</t>
  </si>
  <si>
    <t>Arjun Kapoor</t>
  </si>
  <si>
    <t>Anjali THakur</t>
  </si>
  <si>
    <t>Priya AgarwaL</t>
  </si>
  <si>
    <t>Sanjay GuptA</t>
  </si>
  <si>
    <t>Arjun JAiN</t>
  </si>
  <si>
    <t>Upper</t>
  </si>
  <si>
    <t>Lower</t>
  </si>
  <si>
    <t>Proper</t>
  </si>
  <si>
    <t>Len</t>
  </si>
  <si>
    <t>Left</t>
  </si>
  <si>
    <t>Right</t>
  </si>
  <si>
    <t>MID</t>
  </si>
  <si>
    <t>JP</t>
  </si>
  <si>
    <t>Kumar</t>
  </si>
  <si>
    <t>Anjali</t>
  </si>
  <si>
    <t>THakur</t>
  </si>
  <si>
    <t>Priya</t>
  </si>
  <si>
    <t>AgarwaL</t>
  </si>
  <si>
    <t>R</t>
  </si>
  <si>
    <t>Vasu</t>
  </si>
  <si>
    <t>Sanjay</t>
  </si>
  <si>
    <t>GuptA</t>
  </si>
  <si>
    <t>Jharna</t>
  </si>
  <si>
    <t>Biswal</t>
  </si>
  <si>
    <t>Prakash</t>
  </si>
  <si>
    <t>Dutta</t>
  </si>
  <si>
    <t>Manisha</t>
  </si>
  <si>
    <t>Guha</t>
  </si>
  <si>
    <t>Arjun</t>
  </si>
  <si>
    <t>JAiN</t>
  </si>
  <si>
    <t>Kapoor</t>
  </si>
  <si>
    <t>First Name</t>
  </si>
  <si>
    <t>Last Name</t>
  </si>
  <si>
    <t>Full Name</t>
  </si>
  <si>
    <t>Jp Kumar</t>
  </si>
  <si>
    <t>Exact</t>
  </si>
  <si>
    <t>(Operator)</t>
  </si>
  <si>
    <t>Find</t>
  </si>
  <si>
    <t>Search</t>
  </si>
  <si>
    <t>Replace</t>
  </si>
  <si>
    <t>Substitute</t>
  </si>
  <si>
    <t>Q-1</t>
  </si>
  <si>
    <t>Transpose A Column data in Horizontal Format</t>
  </si>
  <si>
    <t>Q-2</t>
  </si>
  <si>
    <t>Transpose 16 Row  data in Vertical Format</t>
  </si>
  <si>
    <t>Region</t>
  </si>
  <si>
    <t>North</t>
  </si>
  <si>
    <t>East</t>
  </si>
  <si>
    <t>South</t>
  </si>
  <si>
    <t>West</t>
  </si>
  <si>
    <t>Central</t>
  </si>
  <si>
    <t>Nort-East</t>
  </si>
  <si>
    <t>South_west</t>
  </si>
  <si>
    <t>Qtr-1</t>
  </si>
  <si>
    <t>Qtr-2</t>
  </si>
  <si>
    <t>Sales Data</t>
  </si>
  <si>
    <t>Data</t>
  </si>
  <si>
    <t>Add</t>
  </si>
  <si>
    <t>Substract</t>
  </si>
  <si>
    <t>Multiply</t>
  </si>
  <si>
    <t>Divide</t>
  </si>
  <si>
    <t>Value</t>
  </si>
  <si>
    <t>INT</t>
  </si>
  <si>
    <t>Round</t>
  </si>
  <si>
    <t>Roundup</t>
  </si>
  <si>
    <t>Rounddown</t>
  </si>
  <si>
    <t>Power</t>
  </si>
  <si>
    <t>Power Function</t>
  </si>
  <si>
    <t>Anjali        THakur</t>
  </si>
  <si>
    <t>Priya                 AgarwaL</t>
  </si>
  <si>
    <t>R             Vasu</t>
  </si>
  <si>
    <t>Sanjay                  GuptA</t>
  </si>
  <si>
    <t>Jharna                    Biswal</t>
  </si>
  <si>
    <t>Prakash                    Dutta</t>
  </si>
  <si>
    <t>Manisha                   Guha</t>
  </si>
  <si>
    <t>Arjun             JAiN</t>
  </si>
  <si>
    <t>Arjun                        Kapoor</t>
  </si>
  <si>
    <t>JP                           Kumar</t>
  </si>
  <si>
    <t>Trim</t>
  </si>
  <si>
    <t>Roman</t>
  </si>
  <si>
    <t>IV</t>
  </si>
  <si>
    <t>VI</t>
  </si>
  <si>
    <t>II</t>
  </si>
  <si>
    <t>VIII</t>
  </si>
  <si>
    <t>V</t>
  </si>
  <si>
    <t>IX</t>
  </si>
  <si>
    <t>VII</t>
  </si>
  <si>
    <t>REPT</t>
  </si>
  <si>
    <t>*</t>
  </si>
  <si>
    <t>SQRT</t>
  </si>
  <si>
    <t>Emp Code</t>
  </si>
  <si>
    <t>Address</t>
  </si>
  <si>
    <t>City</t>
  </si>
  <si>
    <t>Department</t>
  </si>
  <si>
    <t>Basic</t>
  </si>
  <si>
    <t>Andheri (W)</t>
  </si>
  <si>
    <t>Mumbai</t>
  </si>
  <si>
    <t>W</t>
  </si>
  <si>
    <t>Training</t>
  </si>
  <si>
    <t>Govindpuri</t>
  </si>
  <si>
    <t>Delhi</t>
  </si>
  <si>
    <t>N</t>
  </si>
  <si>
    <t>Accounts</t>
  </si>
  <si>
    <t>Sector 9</t>
  </si>
  <si>
    <t>Noida</t>
  </si>
  <si>
    <t>Marketing</t>
  </si>
  <si>
    <t>Egmore</t>
  </si>
  <si>
    <t>Chennai</t>
  </si>
  <si>
    <t>S</t>
  </si>
  <si>
    <t>R&amp;D</t>
  </si>
  <si>
    <t>Link Road</t>
  </si>
  <si>
    <t>Cuttack</t>
  </si>
  <si>
    <t>E</t>
  </si>
  <si>
    <t>Elgin Road</t>
  </si>
  <si>
    <t>Kolkata</t>
  </si>
  <si>
    <t>Alipore</t>
  </si>
  <si>
    <t>MG Road</t>
  </si>
  <si>
    <t>Bangalore</t>
  </si>
  <si>
    <t>Abrar</t>
  </si>
  <si>
    <t>Jayanagar</t>
  </si>
  <si>
    <t>Shahid Khan</t>
  </si>
  <si>
    <t>M.G Road</t>
  </si>
  <si>
    <t>Mangalore</t>
  </si>
  <si>
    <t>Anupam Mishra</t>
  </si>
  <si>
    <t>Mysore</t>
  </si>
  <si>
    <t>Ashwini</t>
  </si>
  <si>
    <t>Prateek Babbar</t>
  </si>
  <si>
    <t>North Road</t>
  </si>
  <si>
    <t>Sukanya Reddy</t>
  </si>
  <si>
    <t>Satish Puri</t>
  </si>
  <si>
    <t>Bandra</t>
  </si>
  <si>
    <t>Operation</t>
  </si>
  <si>
    <t>Anjum Chopra</t>
  </si>
  <si>
    <t>Worli</t>
  </si>
  <si>
    <t>Akram Khan</t>
  </si>
  <si>
    <t>S P B Road</t>
  </si>
  <si>
    <t>Pune</t>
  </si>
  <si>
    <t>Manish Grover</t>
  </si>
  <si>
    <t>L L R Road</t>
  </si>
  <si>
    <t>SUMIFS</t>
  </si>
  <si>
    <t>COUNTIFS</t>
  </si>
  <si>
    <t>AverageIFs</t>
  </si>
  <si>
    <t>Q-1 Total Salary of Training Department Employees form W Region</t>
  </si>
  <si>
    <t>Q-2 Average Salary of Training Department Employees form W Region</t>
  </si>
  <si>
    <t>Q-3 Total Number of Employees from  Training Department and form W Region</t>
  </si>
  <si>
    <t>Tax Rate</t>
  </si>
  <si>
    <t>Relative Demo</t>
  </si>
  <si>
    <t>Absolute Referencing Demo</t>
  </si>
  <si>
    <t>Product Name</t>
  </si>
  <si>
    <t>Quantity</t>
  </si>
  <si>
    <t>Rate</t>
  </si>
  <si>
    <t>Amount</t>
  </si>
  <si>
    <t>Emp Name</t>
  </si>
  <si>
    <t>Salary</t>
  </si>
  <si>
    <t>Tax</t>
  </si>
  <si>
    <t>Pepsi</t>
  </si>
  <si>
    <t>Ram</t>
  </si>
  <si>
    <t>coke</t>
  </si>
  <si>
    <t>Shyam</t>
  </si>
  <si>
    <t>Slice</t>
  </si>
  <si>
    <t>Hari</t>
  </si>
  <si>
    <t>Miranda</t>
  </si>
  <si>
    <t>Manish</t>
  </si>
  <si>
    <t>Team</t>
  </si>
  <si>
    <t>Asha</t>
  </si>
  <si>
    <t>7-Up</t>
  </si>
  <si>
    <t>Ansu</t>
  </si>
  <si>
    <t>frooty</t>
  </si>
  <si>
    <t>ABS</t>
  </si>
  <si>
    <t>Sum</t>
  </si>
  <si>
    <t>Average</t>
  </si>
  <si>
    <t>Max</t>
  </si>
  <si>
    <t>Min</t>
  </si>
  <si>
    <t>Count</t>
  </si>
  <si>
    <t>CTRL+;</t>
  </si>
  <si>
    <t>CTRL+SHIFT+:</t>
  </si>
  <si>
    <t>TODAY</t>
  </si>
  <si>
    <t>NOW</t>
  </si>
  <si>
    <t>NOW-TODAY</t>
  </si>
  <si>
    <t>TIME</t>
  </si>
  <si>
    <t>DATE</t>
  </si>
  <si>
    <t>HOUR</t>
  </si>
  <si>
    <t>MINUTES</t>
  </si>
  <si>
    <t>SECOND</t>
  </si>
  <si>
    <t>DATA</t>
  </si>
  <si>
    <t>ISTEXT</t>
  </si>
  <si>
    <t>ISNUMBER</t>
  </si>
  <si>
    <t>ISEVEN</t>
  </si>
  <si>
    <t>ISODD</t>
  </si>
  <si>
    <t>ISNONTEXT</t>
  </si>
  <si>
    <t>ISFORMULA</t>
  </si>
  <si>
    <t>India</t>
  </si>
  <si>
    <t>Excel</t>
  </si>
  <si>
    <t>ISLOGICAL</t>
  </si>
  <si>
    <t>Weekday</t>
  </si>
  <si>
    <t>Weeknum</t>
  </si>
  <si>
    <t>Excel is World Most Famous Spreadsheet Application</t>
  </si>
  <si>
    <t xml:space="preserve">It is Integral Part of MS-Office </t>
  </si>
  <si>
    <t>Any Software that contain data in rows &amp; Column is known As Spreadsheet</t>
  </si>
  <si>
    <t>Horizontal lines are known as Rows</t>
  </si>
  <si>
    <t>Vertical Lines are Known as Columns</t>
  </si>
  <si>
    <t>Intersection of Row &amp; Column is Known as Cell.</t>
  </si>
  <si>
    <t>Alphabets are Columns</t>
  </si>
  <si>
    <t>Number are denoted as Rows</t>
  </si>
  <si>
    <t>Total Numbers of Rows 10,48,576</t>
  </si>
  <si>
    <t>Total Number of Columns 16,384</t>
  </si>
  <si>
    <t>1 is First Row</t>
  </si>
  <si>
    <t>A is First Column</t>
  </si>
  <si>
    <t>A1 is First Cell</t>
  </si>
  <si>
    <t>XFD1048576 is Last Cell.</t>
  </si>
  <si>
    <t>CTRL+DOWN Arrow Key To go Last Row</t>
  </si>
  <si>
    <t>CTRL+RIGHT Arrow key to go Last Column</t>
  </si>
  <si>
    <t>CTRL+LEFT Arrow Key for First Column</t>
  </si>
  <si>
    <t>CTRL+UP Arrow Key To go First  Row</t>
  </si>
  <si>
    <t>SHIFT + F11 Key Used to Insert New Worksheet</t>
  </si>
  <si>
    <t>CTRL+PGDn is Used To Next Sheet</t>
  </si>
  <si>
    <t>CTRL+UP is Used To Previous Sheet</t>
  </si>
  <si>
    <t>CLRT+HOME For First  Cell</t>
  </si>
  <si>
    <t>CTRL+A To Select All Data</t>
  </si>
  <si>
    <t xml:space="preserve">ALT+PGDN </t>
  </si>
  <si>
    <t>F11 To Insert Instant Chart</t>
  </si>
  <si>
    <t>ALT+F1 To Insert Chart in Data Sheet</t>
  </si>
  <si>
    <t>.XLSX</t>
  </si>
  <si>
    <t>.XLSM</t>
  </si>
  <si>
    <t>.XLS</t>
  </si>
  <si>
    <t>.XLSB</t>
  </si>
  <si>
    <t>=TODAY()</t>
  </si>
  <si>
    <t>=NOW()</t>
  </si>
  <si>
    <t>CLRT+;</t>
  </si>
  <si>
    <t>KA-05-KP-8562</t>
  </si>
  <si>
    <t>TN-10-RD-9878</t>
  </si>
  <si>
    <t>AP-10-NA-2378</t>
  </si>
  <si>
    <t>TS-04-BA-9567</t>
  </si>
  <si>
    <t>KL-07-ST-8923</t>
  </si>
  <si>
    <t>WB-11-CG-5679</t>
  </si>
  <si>
    <t>UP-09-ST-7453</t>
  </si>
  <si>
    <t>MH-05-AP-9845</t>
  </si>
  <si>
    <t>OR-06-KN-4598</t>
  </si>
  <si>
    <t>DL-03-EG-8345</t>
  </si>
  <si>
    <t>GA-05-AP-3456</t>
  </si>
  <si>
    <t>Anjali ,Thakur</t>
  </si>
  <si>
    <t>Jharna ,Biswal</t>
  </si>
  <si>
    <t>Prakash#Dutta</t>
  </si>
  <si>
    <t>Manisha;Guha</t>
  </si>
  <si>
    <t>Arjun,JAiN</t>
  </si>
  <si>
    <t>Arjun#Kapoor</t>
  </si>
  <si>
    <t>R#Vasu,Muthanna</t>
  </si>
  <si>
    <t>"Priya AgarwaL"</t>
  </si>
  <si>
    <t>"Ajay Kumar"</t>
  </si>
  <si>
    <t>Sanjay;Gupta</t>
  </si>
  <si>
    <t>Example-1</t>
  </si>
  <si>
    <t>Anjali THAkur</t>
  </si>
  <si>
    <t>Priya AGAkur</t>
  </si>
  <si>
    <t>Sanjay GUPkur</t>
  </si>
  <si>
    <t>Jharna BISkur</t>
  </si>
  <si>
    <t>Prakash DUTkur</t>
  </si>
  <si>
    <t>Manisha GUHkur</t>
  </si>
  <si>
    <t>Arjun JAIkur</t>
  </si>
  <si>
    <t>Arjun KAPkur</t>
  </si>
  <si>
    <t>Example-2</t>
  </si>
  <si>
    <t>JP KUMAR IBM</t>
  </si>
  <si>
    <t>ANJALI THAKUR IBM</t>
  </si>
  <si>
    <t>PRIYA AGAKUR IBM</t>
  </si>
  <si>
    <t>R VASU IBM</t>
  </si>
  <si>
    <t>SANJAY GUPKUR IBM</t>
  </si>
  <si>
    <t>JHARNA BISKUR IBM</t>
  </si>
  <si>
    <t>PRAKASH DUTKUR IBM</t>
  </si>
  <si>
    <t>MANISHA GUHKUR IBM</t>
  </si>
  <si>
    <t>ARJUN JAIKUR IBM</t>
  </si>
  <si>
    <t>ARJUN KAPKUR IBM</t>
  </si>
  <si>
    <t>jp.kumar@gmail.com</t>
  </si>
  <si>
    <t>anjali.thakur@gmail.com</t>
  </si>
  <si>
    <t>priya.agarwal@gmail.com</t>
  </si>
  <si>
    <t>r.vasu@gmail.com</t>
  </si>
  <si>
    <t>sanjay.gupta@gmail.com</t>
  </si>
  <si>
    <t>jharna.biswal@gmail.com</t>
  </si>
  <si>
    <t>prakash.dutta@gmail.com</t>
  </si>
  <si>
    <t>manisha.guha@gmail.com</t>
  </si>
  <si>
    <t>arjun.jain@gmail.com</t>
  </si>
  <si>
    <t>arjun.kapoor@gmail.com</t>
  </si>
  <si>
    <t>Example-3</t>
  </si>
  <si>
    <t>Example-4</t>
  </si>
  <si>
    <t>jpkumar@GMAIL.COM</t>
  </si>
  <si>
    <t>anjalikumar@GMAIL</t>
  </si>
  <si>
    <t>priyakumar@GMAIL</t>
  </si>
  <si>
    <t>rkumar@GMAIL</t>
  </si>
  <si>
    <t>sanjaykumar@GMAIL</t>
  </si>
  <si>
    <t>jharnakumar@GMAIL</t>
  </si>
  <si>
    <t>prakashkumar@GMAIL</t>
  </si>
  <si>
    <t>manishakumar@GMAIL</t>
  </si>
  <si>
    <t>arjunkumar@GMAIL</t>
  </si>
  <si>
    <t>Linear</t>
  </si>
  <si>
    <t>Growth</t>
  </si>
  <si>
    <t>Date</t>
  </si>
  <si>
    <t>Month</t>
  </si>
  <si>
    <t>Year</t>
  </si>
  <si>
    <t>Custom List</t>
  </si>
  <si>
    <t>Linear(Step value)</t>
  </si>
  <si>
    <t>Growth(With Step Value</t>
  </si>
  <si>
    <t>Sanjay Roy</t>
  </si>
  <si>
    <t>PP Kumar</t>
  </si>
  <si>
    <t>Priya Sharma</t>
  </si>
  <si>
    <t>Arjun Reddy</t>
  </si>
  <si>
    <t>jhjsk</t>
  </si>
  <si>
    <t>^</t>
  </si>
  <si>
    <t>Arabic</t>
  </si>
  <si>
    <t>SUM</t>
  </si>
  <si>
    <t>AVERAGE</t>
  </si>
  <si>
    <t>MAX</t>
  </si>
  <si>
    <t>MIN</t>
  </si>
  <si>
    <t>COUNT</t>
  </si>
  <si>
    <t>COUNTA</t>
  </si>
  <si>
    <t>COUNtBLANK</t>
  </si>
  <si>
    <t>COUNTIF</t>
  </si>
  <si>
    <t>SUMIF</t>
  </si>
  <si>
    <t>AVERAGEIF</t>
  </si>
  <si>
    <t>LARGE</t>
  </si>
  <si>
    <t>SMALL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</si>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</sst>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;[Red]&quot;₹&quot;\ #,##0.00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164" fontId="0" fillId="0" borderId="0" xfId="0" applyNumberFormat="1"/>
    <xf numFmtId="9" fontId="0" fillId="0" borderId="0" xfId="0" applyNumberFormat="1"/>
    <xf numFmtId="14" fontId="0" fillId="0" borderId="0" xfId="0" applyNumberFormat="1"/>
    <xf numFmtId="22" fontId="0" fillId="0" borderId="0" xfId="0" applyNumberFormat="1"/>
    <xf numFmtId="165" fontId="0" fillId="0" borderId="0" xfId="0" applyNumberFormat="1"/>
    <xf numFmtId="19" fontId="0" fillId="0" borderId="0" xfId="0" applyNumberFormat="1"/>
    <xf numFmtId="0" fontId="0" fillId="0" borderId="0" xfId="0" quotePrefix="1"/>
    <xf numFmtId="20" fontId="0" fillId="0" borderId="0" xfId="0" applyNumberFormat="1"/>
    <xf numFmtId="0" fontId="2" fillId="0" borderId="0" xfId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manisha.guha@gmail.com" TargetMode="External"/><Relationship Id="rId13" Type="http://schemas.openxmlformats.org/officeDocument/2006/relationships/hyperlink" Target="mailto:priyakumar@GMAIL" TargetMode="External"/><Relationship Id="rId18" Type="http://schemas.openxmlformats.org/officeDocument/2006/relationships/hyperlink" Target="mailto:manishakumar@GMAIL" TargetMode="External"/><Relationship Id="rId3" Type="http://schemas.openxmlformats.org/officeDocument/2006/relationships/hyperlink" Target="mailto:priya.agarwal@gmail.com" TargetMode="External"/><Relationship Id="rId7" Type="http://schemas.openxmlformats.org/officeDocument/2006/relationships/hyperlink" Target="mailto:prakash.dutta@gmail.com" TargetMode="External"/><Relationship Id="rId12" Type="http://schemas.openxmlformats.org/officeDocument/2006/relationships/hyperlink" Target="mailto:anjalikumar@GMAIL" TargetMode="External"/><Relationship Id="rId17" Type="http://schemas.openxmlformats.org/officeDocument/2006/relationships/hyperlink" Target="mailto:prakashkumar@GMAIL" TargetMode="External"/><Relationship Id="rId2" Type="http://schemas.openxmlformats.org/officeDocument/2006/relationships/hyperlink" Target="mailto:anjali.thakur@gmail.com" TargetMode="External"/><Relationship Id="rId16" Type="http://schemas.openxmlformats.org/officeDocument/2006/relationships/hyperlink" Target="mailto:jharnakumar@GMAIL" TargetMode="External"/><Relationship Id="rId20" Type="http://schemas.openxmlformats.org/officeDocument/2006/relationships/hyperlink" Target="mailto:arjunkumar@GMAIL" TargetMode="External"/><Relationship Id="rId1" Type="http://schemas.openxmlformats.org/officeDocument/2006/relationships/hyperlink" Target="mailto:jp.kumar@gmail.com" TargetMode="External"/><Relationship Id="rId6" Type="http://schemas.openxmlformats.org/officeDocument/2006/relationships/hyperlink" Target="mailto:jharna.biswal@gmail.com" TargetMode="External"/><Relationship Id="rId11" Type="http://schemas.openxmlformats.org/officeDocument/2006/relationships/hyperlink" Target="mailto:jpkumar@GMAIL.COM" TargetMode="External"/><Relationship Id="rId5" Type="http://schemas.openxmlformats.org/officeDocument/2006/relationships/hyperlink" Target="mailto:sanjay.gupta@gmail.com" TargetMode="External"/><Relationship Id="rId15" Type="http://schemas.openxmlformats.org/officeDocument/2006/relationships/hyperlink" Target="mailto:sanjaykumar@GMAIL" TargetMode="External"/><Relationship Id="rId10" Type="http://schemas.openxmlformats.org/officeDocument/2006/relationships/hyperlink" Target="mailto:arjun.kapoor@gmail.com" TargetMode="External"/><Relationship Id="rId19" Type="http://schemas.openxmlformats.org/officeDocument/2006/relationships/hyperlink" Target="mailto:arjunkumar@GMAIL" TargetMode="External"/><Relationship Id="rId4" Type="http://schemas.openxmlformats.org/officeDocument/2006/relationships/hyperlink" Target="mailto:r.vasu@gmail.com" TargetMode="External"/><Relationship Id="rId9" Type="http://schemas.openxmlformats.org/officeDocument/2006/relationships/hyperlink" Target="mailto:arjun.jain@gmail.com" TargetMode="External"/><Relationship Id="rId14" Type="http://schemas.openxmlformats.org/officeDocument/2006/relationships/hyperlink" Target="mailto:rkumar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EE69F-5CF7-47B5-AADD-43CBA0FAD2A7}">
  <sheetPr codeName="Sheet1"/>
  <dimension ref="A1:C38"/>
  <sheetViews>
    <sheetView zoomScale="170" zoomScaleNormal="170" workbookViewId="0">
      <selection activeCell="C2" sqref="C2"/>
    </sheetView>
  </sheetViews>
  <sheetFormatPr defaultRowHeight="15" x14ac:dyDescent="0.25"/>
  <cols>
    <col min="1" max="1" width="5.42578125" customWidth="1"/>
    <col min="2" max="2" width="62.85546875" bestFit="1" customWidth="1"/>
  </cols>
  <sheetData>
    <row r="1" spans="1:2" x14ac:dyDescent="0.25">
      <c r="A1">
        <v>1</v>
      </c>
      <c r="B1" t="s">
        <v>206</v>
      </c>
    </row>
    <row r="2" spans="1:2" x14ac:dyDescent="0.25">
      <c r="A2">
        <v>2</v>
      </c>
      <c r="B2" t="s">
        <v>208</v>
      </c>
    </row>
    <row r="3" spans="1:2" x14ac:dyDescent="0.25">
      <c r="A3">
        <v>3</v>
      </c>
      <c r="B3" t="s">
        <v>207</v>
      </c>
    </row>
    <row r="4" spans="1:2" x14ac:dyDescent="0.25">
      <c r="A4">
        <v>4</v>
      </c>
      <c r="B4" t="s">
        <v>209</v>
      </c>
    </row>
    <row r="5" spans="1:2" x14ac:dyDescent="0.25">
      <c r="A5">
        <v>5</v>
      </c>
      <c r="B5" t="s">
        <v>210</v>
      </c>
    </row>
    <row r="6" spans="1:2" x14ac:dyDescent="0.25">
      <c r="A6">
        <v>6</v>
      </c>
      <c r="B6" t="s">
        <v>211</v>
      </c>
    </row>
    <row r="7" spans="1:2" x14ac:dyDescent="0.25">
      <c r="A7">
        <v>7</v>
      </c>
      <c r="B7" t="s">
        <v>212</v>
      </c>
    </row>
    <row r="8" spans="1:2" x14ac:dyDescent="0.25">
      <c r="A8">
        <v>8</v>
      </c>
      <c r="B8" t="s">
        <v>213</v>
      </c>
    </row>
    <row r="9" spans="1:2" x14ac:dyDescent="0.25">
      <c r="A9">
        <v>9</v>
      </c>
      <c r="B9" t="s">
        <v>214</v>
      </c>
    </row>
    <row r="10" spans="1:2" x14ac:dyDescent="0.25">
      <c r="A10">
        <v>10</v>
      </c>
      <c r="B10" t="s">
        <v>215</v>
      </c>
    </row>
    <row r="11" spans="1:2" x14ac:dyDescent="0.25">
      <c r="A11">
        <v>11</v>
      </c>
      <c r="B11" t="s">
        <v>216</v>
      </c>
    </row>
    <row r="12" spans="1:2" x14ac:dyDescent="0.25">
      <c r="A12">
        <v>12</v>
      </c>
      <c r="B12" t="s">
        <v>217</v>
      </c>
    </row>
    <row r="13" spans="1:2" x14ac:dyDescent="0.25">
      <c r="A13">
        <v>13</v>
      </c>
      <c r="B13" t="s">
        <v>218</v>
      </c>
    </row>
    <row r="14" spans="1:2" x14ac:dyDescent="0.25">
      <c r="A14">
        <v>14</v>
      </c>
      <c r="B14" t="s">
        <v>219</v>
      </c>
    </row>
    <row r="15" spans="1:2" x14ac:dyDescent="0.25">
      <c r="A15">
        <v>15</v>
      </c>
      <c r="B15" t="s">
        <v>220</v>
      </c>
    </row>
    <row r="16" spans="1:2" x14ac:dyDescent="0.25">
      <c r="A16">
        <v>16</v>
      </c>
      <c r="B16" t="s">
        <v>221</v>
      </c>
    </row>
    <row r="17" spans="1:3" x14ac:dyDescent="0.25">
      <c r="A17">
        <v>17</v>
      </c>
      <c r="B17" t="s">
        <v>222</v>
      </c>
    </row>
    <row r="18" spans="1:3" x14ac:dyDescent="0.25">
      <c r="A18">
        <v>18</v>
      </c>
      <c r="B18" t="s">
        <v>223</v>
      </c>
    </row>
    <row r="19" spans="1:3" x14ac:dyDescent="0.25">
      <c r="A19">
        <v>19</v>
      </c>
      <c r="B19" t="s">
        <v>224</v>
      </c>
    </row>
    <row r="20" spans="1:3" x14ac:dyDescent="0.25">
      <c r="A20">
        <v>20</v>
      </c>
      <c r="B20" t="s">
        <v>225</v>
      </c>
    </row>
    <row r="21" spans="1:3" x14ac:dyDescent="0.25">
      <c r="A21">
        <v>21</v>
      </c>
      <c r="B21" t="s">
        <v>226</v>
      </c>
    </row>
    <row r="22" spans="1:3" x14ac:dyDescent="0.25">
      <c r="A22">
        <v>22</v>
      </c>
      <c r="B22" t="s">
        <v>227</v>
      </c>
    </row>
    <row r="23" spans="1:3" x14ac:dyDescent="0.25">
      <c r="A23">
        <v>23</v>
      </c>
      <c r="B23" t="s">
        <v>228</v>
      </c>
    </row>
    <row r="24" spans="1:3" x14ac:dyDescent="0.25">
      <c r="A24">
        <v>24</v>
      </c>
      <c r="B24" t="s">
        <v>229</v>
      </c>
    </row>
    <row r="25" spans="1:3" x14ac:dyDescent="0.25">
      <c r="A25">
        <v>25</v>
      </c>
      <c r="B25" t="s">
        <v>230</v>
      </c>
    </row>
    <row r="26" spans="1:3" x14ac:dyDescent="0.25">
      <c r="A26">
        <v>26</v>
      </c>
      <c r="B26" t="s">
        <v>231</v>
      </c>
    </row>
    <row r="27" spans="1:3" x14ac:dyDescent="0.25">
      <c r="A27">
        <v>27</v>
      </c>
      <c r="B27" t="s">
        <v>232</v>
      </c>
      <c r="C27" t="s">
        <v>234</v>
      </c>
    </row>
    <row r="28" spans="1:3" x14ac:dyDescent="0.25">
      <c r="A28">
        <v>28</v>
      </c>
      <c r="B28" t="s">
        <v>233</v>
      </c>
    </row>
    <row r="29" spans="1:3" x14ac:dyDescent="0.25">
      <c r="A29">
        <v>29</v>
      </c>
      <c r="B29" t="s">
        <v>235</v>
      </c>
    </row>
    <row r="31" spans="1:3" x14ac:dyDescent="0.25">
      <c r="B31" s="9" t="s">
        <v>236</v>
      </c>
    </row>
    <row r="32" spans="1:3" x14ac:dyDescent="0.25">
      <c r="B32" s="9" t="s">
        <v>237</v>
      </c>
    </row>
    <row r="33" spans="2:3" x14ac:dyDescent="0.25">
      <c r="B33" t="s">
        <v>238</v>
      </c>
      <c r="C33" t="s">
        <v>190</v>
      </c>
    </row>
    <row r="34" spans="2:3" x14ac:dyDescent="0.25">
      <c r="B34" t="s">
        <v>185</v>
      </c>
      <c r="C34" t="s">
        <v>189</v>
      </c>
    </row>
    <row r="37" spans="2:3" x14ac:dyDescent="0.25">
      <c r="B37" s="5">
        <v>44714</v>
      </c>
    </row>
    <row r="38" spans="2:3" x14ac:dyDescent="0.25">
      <c r="B38" s="10">
        <v>0.74861111111111101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5907-C06F-4312-84E7-20602E6C7C3B}">
  <sheetPr codeName="Sheet2"/>
  <dimension ref="A1:U11"/>
  <sheetViews>
    <sheetView tabSelected="1" topLeftCell="K1" zoomScale="190" zoomScaleNormal="190" workbookViewId="0">
      <selection activeCell="M12" sqref="M12"/>
    </sheetView>
  </sheetViews>
  <sheetFormatPr defaultColWidth="18.42578125" defaultRowHeight="15" x14ac:dyDescent="0.25"/>
  <cols>
    <col min="2" max="2" width="15.85546875" customWidth="1"/>
    <col min="3" max="3" width="17.140625" customWidth="1"/>
    <col min="13" max="13" width="18.42578125" customWidth="1"/>
    <col min="20" max="20" width="22.5703125" bestFit="1" customWidth="1"/>
  </cols>
  <sheetData>
    <row r="1" spans="1:21" x14ac:dyDescent="0.25">
      <c r="A1" s="1" t="s">
        <v>0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s="1" t="s">
        <v>41</v>
      </c>
      <c r="J1" s="1" t="s">
        <v>42</v>
      </c>
      <c r="K1" s="1" t="s">
        <v>43</v>
      </c>
      <c r="L1" s="1" t="s">
        <v>0</v>
      </c>
      <c r="M1" s="1" t="s">
        <v>0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0</v>
      </c>
      <c r="U1" s="1" t="s">
        <v>88</v>
      </c>
    </row>
    <row r="2" spans="1:21" x14ac:dyDescent="0.25">
      <c r="A2" t="s">
        <v>1</v>
      </c>
      <c r="I2" t="s">
        <v>22</v>
      </c>
      <c r="J2" t="s">
        <v>23</v>
      </c>
      <c r="L2" t="s">
        <v>1</v>
      </c>
      <c r="M2" t="s">
        <v>44</v>
      </c>
      <c r="N2" t="b">
        <f>EXACT(L2,M2)</f>
        <v>0</v>
      </c>
      <c r="O2" t="b">
        <f>L2=M2</f>
        <v>1</v>
      </c>
      <c r="T2" t="s">
        <v>87</v>
      </c>
    </row>
    <row r="3" spans="1:21" x14ac:dyDescent="0.25">
      <c r="A3" t="s">
        <v>11</v>
      </c>
      <c r="I3" t="s">
        <v>24</v>
      </c>
      <c r="J3" t="s">
        <v>25</v>
      </c>
      <c r="L3" t="s">
        <v>11</v>
      </c>
      <c r="M3" t="s">
        <v>2</v>
      </c>
      <c r="N3" t="b">
        <f t="shared" ref="N3:N11" si="0">EXACT(L3,M3)</f>
        <v>0</v>
      </c>
      <c r="O3" t="b">
        <f t="shared" ref="O3:O11" si="1">L3=M3</f>
        <v>1</v>
      </c>
      <c r="T3" t="s">
        <v>78</v>
      </c>
    </row>
    <row r="4" spans="1:21" x14ac:dyDescent="0.25">
      <c r="A4" t="s">
        <v>12</v>
      </c>
      <c r="I4" t="s">
        <v>26</v>
      </c>
      <c r="J4" t="s">
        <v>27</v>
      </c>
      <c r="L4" t="s">
        <v>12</v>
      </c>
      <c r="M4" t="s">
        <v>3</v>
      </c>
      <c r="N4" t="b">
        <f t="shared" si="0"/>
        <v>0</v>
      </c>
      <c r="O4" t="b">
        <f t="shared" si="1"/>
        <v>1</v>
      </c>
      <c r="T4" t="s">
        <v>79</v>
      </c>
    </row>
    <row r="5" spans="1:21" x14ac:dyDescent="0.25">
      <c r="A5" t="s">
        <v>4</v>
      </c>
      <c r="I5" t="s">
        <v>28</v>
      </c>
      <c r="J5" t="s">
        <v>29</v>
      </c>
      <c r="L5" t="s">
        <v>4</v>
      </c>
      <c r="M5" t="s">
        <v>4</v>
      </c>
      <c r="N5" t="b">
        <f t="shared" si="0"/>
        <v>1</v>
      </c>
      <c r="O5" t="b">
        <f t="shared" si="1"/>
        <v>1</v>
      </c>
      <c r="T5" t="s">
        <v>80</v>
      </c>
    </row>
    <row r="6" spans="1:21" x14ac:dyDescent="0.25">
      <c r="A6" t="s">
        <v>13</v>
      </c>
      <c r="I6" t="s">
        <v>30</v>
      </c>
      <c r="J6" t="s">
        <v>31</v>
      </c>
      <c r="L6" t="s">
        <v>309</v>
      </c>
      <c r="M6" t="s">
        <v>5</v>
      </c>
      <c r="N6" t="b">
        <f t="shared" si="0"/>
        <v>0</v>
      </c>
      <c r="O6" t="b">
        <f t="shared" si="1"/>
        <v>0</v>
      </c>
      <c r="T6" t="s">
        <v>81</v>
      </c>
    </row>
    <row r="7" spans="1:21" x14ac:dyDescent="0.25">
      <c r="A7" t="s">
        <v>6</v>
      </c>
      <c r="I7" t="s">
        <v>32</v>
      </c>
      <c r="J7" t="s">
        <v>33</v>
      </c>
      <c r="L7" t="s">
        <v>6</v>
      </c>
      <c r="M7" t="s">
        <v>6</v>
      </c>
      <c r="N7" t="b">
        <f t="shared" si="0"/>
        <v>1</v>
      </c>
      <c r="O7" t="b">
        <f t="shared" si="1"/>
        <v>1</v>
      </c>
      <c r="T7" t="s">
        <v>82</v>
      </c>
    </row>
    <row r="8" spans="1:21" x14ac:dyDescent="0.25">
      <c r="A8" t="s">
        <v>7</v>
      </c>
      <c r="I8" t="s">
        <v>34</v>
      </c>
      <c r="J8" t="s">
        <v>35</v>
      </c>
      <c r="L8" t="s">
        <v>7</v>
      </c>
      <c r="M8" t="s">
        <v>7</v>
      </c>
      <c r="N8" t="b">
        <f t="shared" si="0"/>
        <v>1</v>
      </c>
      <c r="O8" t="b">
        <f t="shared" si="1"/>
        <v>1</v>
      </c>
      <c r="T8" t="s">
        <v>83</v>
      </c>
    </row>
    <row r="9" spans="1:21" x14ac:dyDescent="0.25">
      <c r="A9" t="s">
        <v>8</v>
      </c>
      <c r="I9" t="s">
        <v>36</v>
      </c>
      <c r="J9" t="s">
        <v>37</v>
      </c>
      <c r="L9" t="s">
        <v>8</v>
      </c>
      <c r="M9" t="s">
        <v>8</v>
      </c>
      <c r="N9" t="b">
        <f t="shared" si="0"/>
        <v>1</v>
      </c>
      <c r="O9" t="b">
        <f t="shared" si="1"/>
        <v>1</v>
      </c>
      <c r="T9" t="s">
        <v>84</v>
      </c>
    </row>
    <row r="10" spans="1:21" x14ac:dyDescent="0.25">
      <c r="A10" t="s">
        <v>14</v>
      </c>
      <c r="I10" t="s">
        <v>38</v>
      </c>
      <c r="J10" t="s">
        <v>39</v>
      </c>
      <c r="L10" t="s">
        <v>14</v>
      </c>
      <c r="M10" t="s">
        <v>9</v>
      </c>
      <c r="N10" t="b">
        <f t="shared" si="0"/>
        <v>0</v>
      </c>
      <c r="O10" t="b">
        <f t="shared" si="1"/>
        <v>1</v>
      </c>
      <c r="T10" t="s">
        <v>85</v>
      </c>
    </row>
    <row r="11" spans="1:21" x14ac:dyDescent="0.25">
      <c r="A11" t="s">
        <v>10</v>
      </c>
      <c r="I11" t="s">
        <v>38</v>
      </c>
      <c r="J11" t="s">
        <v>40</v>
      </c>
      <c r="L11" t="s">
        <v>10</v>
      </c>
      <c r="M11" t="s">
        <v>10</v>
      </c>
      <c r="N11" t="b">
        <f t="shared" si="0"/>
        <v>1</v>
      </c>
      <c r="O11" t="b">
        <f t="shared" si="1"/>
        <v>1</v>
      </c>
      <c r="T11" t="s">
        <v>86</v>
      </c>
    </row>
  </sheetData>
  <dataValidations count="1">
    <dataValidation type="custom" allowBlank="1" showInputMessage="1" showErrorMessage="1" sqref="A1:A11 I1:I11 L1:L11 T1:T11" xr:uid="{D16A34D6-7D5F-4275-A3B1-EFE8C37F9B1B}">
      <formula1>ISTEXT(A1)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8368-3C7D-46E1-92B9-499A93241FF7}">
  <sheetPr codeName="Sheet3"/>
  <dimension ref="A1:K33"/>
  <sheetViews>
    <sheetView zoomScale="200" zoomScaleNormal="200" workbookViewId="0">
      <selection activeCell="B10" sqref="B10"/>
    </sheetView>
  </sheetViews>
  <sheetFormatPr defaultRowHeight="15" x14ac:dyDescent="0.25"/>
  <cols>
    <col min="1" max="1" width="14.85546875" bestFit="1" customWidth="1"/>
    <col min="2" max="2" width="8.28515625" bestFit="1" customWidth="1"/>
    <col min="3" max="3" width="13.28515625" customWidth="1"/>
    <col min="4" max="4" width="12.42578125" bestFit="1" customWidth="1"/>
  </cols>
  <sheetData>
    <row r="1" spans="1:11" x14ac:dyDescent="0.25">
      <c r="A1" s="1" t="s">
        <v>0</v>
      </c>
      <c r="C1" s="1"/>
    </row>
    <row r="2" spans="1:11" x14ac:dyDescent="0.25">
      <c r="A2" t="s">
        <v>1</v>
      </c>
    </row>
    <row r="3" spans="1:11" x14ac:dyDescent="0.25">
      <c r="A3" t="s">
        <v>11</v>
      </c>
    </row>
    <row r="4" spans="1:11" x14ac:dyDescent="0.25">
      <c r="A4" t="s">
        <v>12</v>
      </c>
    </row>
    <row r="5" spans="1:11" x14ac:dyDescent="0.25">
      <c r="A5" t="s">
        <v>4</v>
      </c>
    </row>
    <row r="6" spans="1:11" x14ac:dyDescent="0.25">
      <c r="A6" t="s">
        <v>13</v>
      </c>
    </row>
    <row r="7" spans="1:11" x14ac:dyDescent="0.25">
      <c r="A7" t="s">
        <v>6</v>
      </c>
      <c r="E7" t="s">
        <v>51</v>
      </c>
      <c r="F7" t="s">
        <v>52</v>
      </c>
    </row>
    <row r="8" spans="1:11" x14ac:dyDescent="0.25">
      <c r="A8" t="s">
        <v>7</v>
      </c>
      <c r="E8" t="s">
        <v>53</v>
      </c>
      <c r="F8" t="s">
        <v>54</v>
      </c>
    </row>
    <row r="9" spans="1:11" x14ac:dyDescent="0.25">
      <c r="A9" t="s">
        <v>8</v>
      </c>
    </row>
    <row r="10" spans="1:11" x14ac:dyDescent="0.25">
      <c r="A10" t="s">
        <v>14</v>
      </c>
    </row>
    <row r="11" spans="1:11" x14ac:dyDescent="0.25">
      <c r="A11" t="s">
        <v>10</v>
      </c>
    </row>
    <row r="16" spans="1:11" x14ac:dyDescent="0.25">
      <c r="A16" t="s">
        <v>0</v>
      </c>
      <c r="B16" t="s">
        <v>1</v>
      </c>
      <c r="C16" t="s">
        <v>11</v>
      </c>
      <c r="D16" t="s">
        <v>12</v>
      </c>
      <c r="E16" t="s">
        <v>4</v>
      </c>
      <c r="F16" t="s">
        <v>13</v>
      </c>
      <c r="G16" t="s">
        <v>6</v>
      </c>
      <c r="H16" t="s">
        <v>7</v>
      </c>
      <c r="I16" t="s">
        <v>8</v>
      </c>
      <c r="J16" t="s">
        <v>14</v>
      </c>
      <c r="K16" t="s">
        <v>10</v>
      </c>
    </row>
    <row r="23" spans="2:2" x14ac:dyDescent="0.25">
      <c r="B23" t="s">
        <v>0</v>
      </c>
    </row>
    <row r="24" spans="2:2" x14ac:dyDescent="0.25">
      <c r="B24" t="s">
        <v>1</v>
      </c>
    </row>
    <row r="25" spans="2:2" x14ac:dyDescent="0.25">
      <c r="B25" t="s">
        <v>11</v>
      </c>
    </row>
    <row r="26" spans="2:2" x14ac:dyDescent="0.25">
      <c r="B26" t="s">
        <v>12</v>
      </c>
    </row>
    <row r="27" spans="2:2" x14ac:dyDescent="0.25">
      <c r="B27" t="s">
        <v>4</v>
      </c>
    </row>
    <row r="28" spans="2:2" x14ac:dyDescent="0.25">
      <c r="B28" t="s">
        <v>13</v>
      </c>
    </row>
    <row r="29" spans="2:2" x14ac:dyDescent="0.25">
      <c r="B29" t="s">
        <v>6</v>
      </c>
    </row>
    <row r="30" spans="2:2" x14ac:dyDescent="0.25">
      <c r="B30" t="s">
        <v>7</v>
      </c>
    </row>
    <row r="31" spans="2:2" x14ac:dyDescent="0.25">
      <c r="B31" t="s">
        <v>8</v>
      </c>
    </row>
    <row r="32" spans="2:2" x14ac:dyDescent="0.25">
      <c r="B32" t="s">
        <v>14</v>
      </c>
    </row>
    <row r="33" spans="2:2" x14ac:dyDescent="0.25">
      <c r="B33" t="s">
        <v>10</v>
      </c>
    </row>
  </sheetData>
  <dataValidations count="1">
    <dataValidation type="custom" allowBlank="1" showInputMessage="1" showErrorMessage="1" sqref="A1:A11 C1:M1" xr:uid="{C95029C3-8471-4B41-9053-F0FE44BDC0D0}">
      <formula1>ISTEXT(A1)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CE262-9FEF-46EA-837D-1EE911D82688}">
  <sheetPr codeName="Sheet4"/>
  <dimension ref="A1:G11"/>
  <sheetViews>
    <sheetView zoomScale="170" zoomScaleNormal="170" workbookViewId="0">
      <selection activeCell="G2" sqref="G2"/>
    </sheetView>
  </sheetViews>
  <sheetFormatPr defaultRowHeight="15" x14ac:dyDescent="0.25"/>
  <cols>
    <col min="1" max="1" width="14.85546875" bestFit="1" customWidth="1"/>
    <col min="5" max="5" width="15.5703125" customWidth="1"/>
    <col min="7" max="7" width="14" customWidth="1"/>
    <col min="8" max="8" width="14.42578125" bestFit="1" customWidth="1"/>
  </cols>
  <sheetData>
    <row r="1" spans="1:7" x14ac:dyDescent="0.25">
      <c r="A1" s="1" t="s">
        <v>0</v>
      </c>
      <c r="E1" s="1" t="s">
        <v>0</v>
      </c>
      <c r="G1" t="str">
        <f t="shared" ref="G1:G11" si="0">A1</f>
        <v>Employee Name</v>
      </c>
    </row>
    <row r="2" spans="1:7" x14ac:dyDescent="0.25">
      <c r="A2" t="s">
        <v>313</v>
      </c>
      <c r="E2" t="s">
        <v>310</v>
      </c>
      <c r="G2" t="str">
        <f t="shared" si="0"/>
        <v>jhjsk</v>
      </c>
    </row>
    <row r="3" spans="1:7" x14ac:dyDescent="0.25">
      <c r="A3" t="s">
        <v>11</v>
      </c>
      <c r="E3" t="s">
        <v>11</v>
      </c>
      <c r="G3" t="str">
        <f t="shared" si="0"/>
        <v>Anjali THakur</v>
      </c>
    </row>
    <row r="4" spans="1:7" x14ac:dyDescent="0.25">
      <c r="A4" t="s">
        <v>311</v>
      </c>
      <c r="E4" t="s">
        <v>311</v>
      </c>
      <c r="G4" t="str">
        <f t="shared" si="0"/>
        <v>Priya Sharma</v>
      </c>
    </row>
    <row r="5" spans="1:7" x14ac:dyDescent="0.25">
      <c r="A5" t="s">
        <v>4</v>
      </c>
      <c r="E5" t="s">
        <v>4</v>
      </c>
      <c r="G5" t="str">
        <f t="shared" si="0"/>
        <v>R Vasu</v>
      </c>
    </row>
    <row r="6" spans="1:7" x14ac:dyDescent="0.25">
      <c r="A6" t="s">
        <v>13</v>
      </c>
      <c r="E6" t="s">
        <v>13</v>
      </c>
      <c r="G6" t="str">
        <f t="shared" si="0"/>
        <v>Sanjay GuptA</v>
      </c>
    </row>
    <row r="7" spans="1:7" x14ac:dyDescent="0.25">
      <c r="A7" t="s">
        <v>6</v>
      </c>
      <c r="E7" t="s">
        <v>6</v>
      </c>
      <c r="G7" t="str">
        <f t="shared" si="0"/>
        <v>Jharna Biswal</v>
      </c>
    </row>
    <row r="8" spans="1:7" x14ac:dyDescent="0.25">
      <c r="A8" t="s">
        <v>7</v>
      </c>
      <c r="E8" t="s">
        <v>7</v>
      </c>
      <c r="G8" t="str">
        <f t="shared" si="0"/>
        <v>Prakash Dutta</v>
      </c>
    </row>
    <row r="9" spans="1:7" x14ac:dyDescent="0.25">
      <c r="A9" t="s">
        <v>8</v>
      </c>
      <c r="E9" t="s">
        <v>8</v>
      </c>
      <c r="G9" t="str">
        <f t="shared" si="0"/>
        <v>Manisha Guha</v>
      </c>
    </row>
    <row r="10" spans="1:7" x14ac:dyDescent="0.25">
      <c r="A10" t="s">
        <v>312</v>
      </c>
      <c r="E10" t="s">
        <v>312</v>
      </c>
      <c r="G10" t="str">
        <f t="shared" si="0"/>
        <v>Arjun Reddy</v>
      </c>
    </row>
    <row r="11" spans="1:7" x14ac:dyDescent="0.25">
      <c r="A11" t="s">
        <v>10</v>
      </c>
      <c r="E11" t="s">
        <v>10</v>
      </c>
      <c r="G11" t="str">
        <f t="shared" si="0"/>
        <v>Arjun Kapoor</v>
      </c>
    </row>
  </sheetData>
  <dataValidations count="1">
    <dataValidation type="custom" allowBlank="1" showInputMessage="1" showErrorMessage="1" sqref="A1:A11 E1:E11" xr:uid="{79866225-5C9C-426B-8775-BE9B691F3B1D}">
      <formula1>ISTEXT(A1)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80F98-408C-438D-B882-C956F45EED7D}">
  <sheetPr codeName="Sheet5"/>
  <dimension ref="A1:H9"/>
  <sheetViews>
    <sheetView zoomScale="190" zoomScaleNormal="190" workbookViewId="0">
      <selection activeCell="D8" sqref="D8"/>
    </sheetView>
  </sheetViews>
  <sheetFormatPr defaultRowHeight="15" x14ac:dyDescent="0.25"/>
  <cols>
    <col min="1" max="1" width="10.5703125" bestFit="1" customWidth="1"/>
    <col min="2" max="2" width="9.28515625" bestFit="1" customWidth="1"/>
    <col min="7" max="7" width="10.5703125" bestFit="1" customWidth="1"/>
  </cols>
  <sheetData>
    <row r="1" spans="1:8" x14ac:dyDescent="0.25">
      <c r="A1" s="12" t="s">
        <v>63</v>
      </c>
      <c r="B1" s="12"/>
      <c r="G1" s="12" t="s">
        <v>64</v>
      </c>
      <c r="H1" s="12"/>
    </row>
    <row r="2" spans="1:8" x14ac:dyDescent="0.25">
      <c r="A2" t="s">
        <v>55</v>
      </c>
      <c r="B2" t="s">
        <v>65</v>
      </c>
      <c r="G2" t="s">
        <v>55</v>
      </c>
      <c r="H2" t="s">
        <v>65</v>
      </c>
    </row>
    <row r="3" spans="1:8" x14ac:dyDescent="0.25">
      <c r="A3" t="s">
        <v>56</v>
      </c>
      <c r="B3">
        <v>54</v>
      </c>
      <c r="G3" t="s">
        <v>56</v>
      </c>
      <c r="H3">
        <v>54</v>
      </c>
    </row>
    <row r="4" spans="1:8" x14ac:dyDescent="0.25">
      <c r="A4" t="s">
        <v>57</v>
      </c>
      <c r="B4">
        <v>65</v>
      </c>
      <c r="G4" t="s">
        <v>57</v>
      </c>
      <c r="H4">
        <v>65</v>
      </c>
    </row>
    <row r="5" spans="1:8" x14ac:dyDescent="0.25">
      <c r="A5" t="s">
        <v>58</v>
      </c>
      <c r="G5" t="s">
        <v>58</v>
      </c>
      <c r="H5">
        <v>78</v>
      </c>
    </row>
    <row r="6" spans="1:8" x14ac:dyDescent="0.25">
      <c r="A6" t="s">
        <v>59</v>
      </c>
      <c r="B6">
        <v>66</v>
      </c>
      <c r="G6" t="s">
        <v>59</v>
      </c>
      <c r="H6">
        <v>66</v>
      </c>
    </row>
    <row r="7" spans="1:8" x14ac:dyDescent="0.25">
      <c r="A7" t="s">
        <v>60</v>
      </c>
      <c r="B7">
        <v>76</v>
      </c>
      <c r="G7" t="s">
        <v>60</v>
      </c>
      <c r="H7">
        <v>76</v>
      </c>
    </row>
    <row r="8" spans="1:8" x14ac:dyDescent="0.25">
      <c r="A8" t="s">
        <v>61</v>
      </c>
      <c r="G8" t="s">
        <v>61</v>
      </c>
      <c r="H8">
        <v>56</v>
      </c>
    </row>
    <row r="9" spans="1:8" x14ac:dyDescent="0.25">
      <c r="A9" t="s">
        <v>62</v>
      </c>
      <c r="B9">
        <v>54</v>
      </c>
      <c r="G9" t="s">
        <v>62</v>
      </c>
      <c r="H9">
        <v>54</v>
      </c>
    </row>
  </sheetData>
  <mergeCells count="2">
    <mergeCell ref="A1:B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35EE-99EA-4F49-9970-799191533C09}">
  <sheetPr codeName="Sheet6"/>
  <dimension ref="A1:J10"/>
  <sheetViews>
    <sheetView zoomScale="190" zoomScaleNormal="190" workbookViewId="0">
      <selection activeCell="F2" sqref="F2:F10"/>
    </sheetView>
  </sheetViews>
  <sheetFormatPr defaultRowHeight="15" x14ac:dyDescent="0.25"/>
  <sheetData>
    <row r="1" spans="1:10" x14ac:dyDescent="0.25">
      <c r="A1" t="s">
        <v>66</v>
      </c>
      <c r="B1" t="s">
        <v>67</v>
      </c>
      <c r="C1" t="s">
        <v>68</v>
      </c>
      <c r="D1" t="s">
        <v>69</v>
      </c>
      <c r="E1" t="s">
        <v>70</v>
      </c>
      <c r="H1" t="s">
        <v>71</v>
      </c>
      <c r="I1">
        <v>10</v>
      </c>
      <c r="J1">
        <v>-1</v>
      </c>
    </row>
    <row r="2" spans="1:10" x14ac:dyDescent="0.25">
      <c r="A2">
        <v>54</v>
      </c>
      <c r="B2">
        <v>64</v>
      </c>
      <c r="C2">
        <v>-44</v>
      </c>
      <c r="D2">
        <v>540</v>
      </c>
      <c r="E2">
        <v>5.4</v>
      </c>
      <c r="F2">
        <f>ABS(C2)</f>
        <v>44</v>
      </c>
    </row>
    <row r="3" spans="1:10" x14ac:dyDescent="0.25">
      <c r="A3">
        <v>16</v>
      </c>
      <c r="B3">
        <v>26</v>
      </c>
      <c r="C3">
        <v>-6</v>
      </c>
      <c r="D3">
        <v>160</v>
      </c>
      <c r="E3">
        <v>1.6</v>
      </c>
      <c r="F3">
        <f t="shared" ref="F3:F10" si="0">ABS(C3)</f>
        <v>6</v>
      </c>
    </row>
    <row r="4" spans="1:10" x14ac:dyDescent="0.25">
      <c r="A4">
        <v>55</v>
      </c>
      <c r="B4">
        <v>65</v>
      </c>
      <c r="C4">
        <v>-45</v>
      </c>
      <c r="D4">
        <v>550</v>
      </c>
      <c r="E4">
        <v>5.5</v>
      </c>
      <c r="F4">
        <f t="shared" si="0"/>
        <v>45</v>
      </c>
    </row>
    <row r="5" spans="1:10" x14ac:dyDescent="0.25">
      <c r="A5">
        <v>28</v>
      </c>
      <c r="B5">
        <v>38</v>
      </c>
      <c r="C5">
        <v>-18</v>
      </c>
      <c r="D5">
        <v>280</v>
      </c>
      <c r="E5">
        <v>2.8</v>
      </c>
      <c r="F5">
        <f t="shared" si="0"/>
        <v>18</v>
      </c>
    </row>
    <row r="6" spans="1:10" x14ac:dyDescent="0.25">
      <c r="A6">
        <v>34</v>
      </c>
      <c r="B6">
        <v>44</v>
      </c>
      <c r="C6">
        <v>-24</v>
      </c>
      <c r="D6">
        <v>340</v>
      </c>
      <c r="E6">
        <v>3.4</v>
      </c>
      <c r="F6">
        <f t="shared" si="0"/>
        <v>24</v>
      </c>
    </row>
    <row r="7" spans="1:10" x14ac:dyDescent="0.25">
      <c r="A7">
        <v>55</v>
      </c>
      <c r="B7">
        <v>65</v>
      </c>
      <c r="C7">
        <v>-45</v>
      </c>
      <c r="D7">
        <v>550</v>
      </c>
      <c r="E7">
        <v>5.5</v>
      </c>
      <c r="F7">
        <f t="shared" si="0"/>
        <v>45</v>
      </c>
    </row>
    <row r="8" spans="1:10" x14ac:dyDescent="0.25">
      <c r="A8">
        <v>63</v>
      </c>
      <c r="B8">
        <v>73</v>
      </c>
      <c r="C8">
        <v>-53</v>
      </c>
      <c r="D8">
        <v>630</v>
      </c>
      <c r="E8">
        <v>6.3</v>
      </c>
      <c r="F8">
        <f t="shared" si="0"/>
        <v>53</v>
      </c>
    </row>
    <row r="9" spans="1:10" x14ac:dyDescent="0.25">
      <c r="A9">
        <v>28</v>
      </c>
      <c r="B9">
        <v>38</v>
      </c>
      <c r="C9">
        <v>-18</v>
      </c>
      <c r="D9">
        <v>280</v>
      </c>
      <c r="E9">
        <v>2.8</v>
      </c>
      <c r="F9">
        <f t="shared" si="0"/>
        <v>18</v>
      </c>
    </row>
    <row r="10" spans="1:10" x14ac:dyDescent="0.25">
      <c r="A10">
        <v>52</v>
      </c>
      <c r="B10">
        <v>62</v>
      </c>
      <c r="C10">
        <v>-42</v>
      </c>
      <c r="D10">
        <v>520</v>
      </c>
      <c r="E10">
        <v>5.2</v>
      </c>
      <c r="F10">
        <f t="shared" si="0"/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84E8-5ED5-4908-B896-9965F809130A}">
  <sheetPr codeName="Sheet7"/>
  <dimension ref="A1:Y10"/>
  <sheetViews>
    <sheetView topLeftCell="K1" zoomScale="190" zoomScaleNormal="190" workbookViewId="0">
      <selection activeCell="L2" sqref="L2"/>
    </sheetView>
  </sheetViews>
  <sheetFormatPr defaultRowHeight="15" x14ac:dyDescent="0.25"/>
  <cols>
    <col min="5" max="5" width="10.7109375" bestFit="1" customWidth="1"/>
    <col min="9" max="9" width="13.7109375" bestFit="1" customWidth="1"/>
    <col min="18" max="18" width="10" bestFit="1" customWidth="1"/>
  </cols>
  <sheetData>
    <row r="1" spans="1:25" x14ac:dyDescent="0.25">
      <c r="A1" t="s">
        <v>66</v>
      </c>
      <c r="B1" t="s">
        <v>72</v>
      </c>
      <c r="C1" t="s">
        <v>73</v>
      </c>
      <c r="D1" t="s">
        <v>74</v>
      </c>
      <c r="E1" t="s">
        <v>75</v>
      </c>
      <c r="G1" t="s">
        <v>66</v>
      </c>
      <c r="H1" t="s">
        <v>76</v>
      </c>
      <c r="I1" t="s">
        <v>77</v>
      </c>
      <c r="J1" t="s">
        <v>314</v>
      </c>
      <c r="K1" t="s">
        <v>66</v>
      </c>
      <c r="L1" t="s">
        <v>89</v>
      </c>
      <c r="N1" t="s">
        <v>66</v>
      </c>
      <c r="O1" t="s">
        <v>315</v>
      </c>
      <c r="Q1" t="s">
        <v>66</v>
      </c>
      <c r="R1" t="s">
        <v>97</v>
      </c>
      <c r="S1" t="s">
        <v>98</v>
      </c>
      <c r="U1" t="s">
        <v>66</v>
      </c>
      <c r="V1" t="s">
        <v>99</v>
      </c>
      <c r="X1" t="s">
        <v>66</v>
      </c>
      <c r="Y1" t="s">
        <v>178</v>
      </c>
    </row>
    <row r="2" spans="1:25" x14ac:dyDescent="0.25">
      <c r="A2">
        <v>5.46</v>
      </c>
      <c r="B2">
        <f>INT(A2)</f>
        <v>5</v>
      </c>
      <c r="C2">
        <f>ROUND(A2,0)</f>
        <v>5</v>
      </c>
      <c r="D2">
        <f>ROUNDUP(A2,1)</f>
        <v>5.5</v>
      </c>
      <c r="E2">
        <f>ROUNDDOWN(A2,0)</f>
        <v>5</v>
      </c>
      <c r="G2">
        <v>4</v>
      </c>
      <c r="H2">
        <v>2</v>
      </c>
      <c r="I2">
        <f>POWER(G2,H2)</f>
        <v>16</v>
      </c>
      <c r="K2">
        <v>4</v>
      </c>
      <c r="L2" t="str">
        <f>ROMAN(K2)</f>
        <v>IV</v>
      </c>
      <c r="N2" t="s">
        <v>90</v>
      </c>
      <c r="O2">
        <f>_xlfn.ARABIC(N2)</f>
        <v>4</v>
      </c>
      <c r="Q2">
        <v>4</v>
      </c>
      <c r="R2" t="str">
        <f>REPT("#",Q2)</f>
        <v>####</v>
      </c>
      <c r="U2">
        <v>25</v>
      </c>
      <c r="V2">
        <f>SQRT(U2)</f>
        <v>5</v>
      </c>
      <c r="X2">
        <v>-25</v>
      </c>
      <c r="Y2">
        <f>ABS(X2)</f>
        <v>25</v>
      </c>
    </row>
    <row r="3" spans="1:25" x14ac:dyDescent="0.25">
      <c r="A3">
        <v>1.6</v>
      </c>
      <c r="B3">
        <f t="shared" ref="B3:B10" si="0">INT(A3)</f>
        <v>1</v>
      </c>
      <c r="C3">
        <f t="shared" ref="C3:C10" si="1">ROUND(A3,0)</f>
        <v>2</v>
      </c>
      <c r="D3">
        <f t="shared" ref="D3:D10" si="2">ROUNDUP(A3,1)</f>
        <v>1.6</v>
      </c>
      <c r="E3">
        <f t="shared" ref="E3:E10" si="3">ROUNDDOWN(A3,0)</f>
        <v>1</v>
      </c>
      <c r="G3">
        <v>6</v>
      </c>
      <c r="H3">
        <v>3</v>
      </c>
      <c r="I3">
        <f t="shared" ref="I3:I9" si="4">POWER(G3,H3)</f>
        <v>216</v>
      </c>
      <c r="K3">
        <v>6</v>
      </c>
      <c r="L3" t="str">
        <f t="shared" ref="L3:L9" si="5">ROMAN(K3)</f>
        <v>VI</v>
      </c>
      <c r="N3" t="s">
        <v>91</v>
      </c>
      <c r="O3">
        <f t="shared" ref="O3:O9" si="6">_xlfn.ARABIC(N3)</f>
        <v>6</v>
      </c>
      <c r="Q3">
        <v>6</v>
      </c>
      <c r="R3" t="str">
        <f t="shared" ref="R3:R9" si="7">REPT("#",Q3)</f>
        <v>######</v>
      </c>
      <c r="U3">
        <v>4</v>
      </c>
      <c r="V3">
        <f t="shared" ref="V3:V9" si="8">SQRT(U3)</f>
        <v>2</v>
      </c>
      <c r="X3">
        <v>-4</v>
      </c>
      <c r="Y3">
        <f t="shared" ref="Y3:Y9" si="9">ABS(X3)</f>
        <v>4</v>
      </c>
    </row>
    <row r="4" spans="1:25" x14ac:dyDescent="0.25">
      <c r="A4">
        <v>5.5</v>
      </c>
      <c r="B4">
        <f t="shared" si="0"/>
        <v>5</v>
      </c>
      <c r="C4">
        <f t="shared" si="1"/>
        <v>6</v>
      </c>
      <c r="D4">
        <f t="shared" si="2"/>
        <v>5.5</v>
      </c>
      <c r="E4">
        <f t="shared" si="3"/>
        <v>5</v>
      </c>
      <c r="G4">
        <v>2</v>
      </c>
      <c r="H4">
        <v>3</v>
      </c>
      <c r="I4">
        <f t="shared" si="4"/>
        <v>8</v>
      </c>
      <c r="K4">
        <v>2</v>
      </c>
      <c r="L4" t="str">
        <f t="shared" si="5"/>
        <v>II</v>
      </c>
      <c r="N4" t="s">
        <v>92</v>
      </c>
      <c r="O4">
        <f t="shared" si="6"/>
        <v>2</v>
      </c>
      <c r="Q4">
        <v>2</v>
      </c>
      <c r="R4" t="str">
        <f t="shared" si="7"/>
        <v>##</v>
      </c>
      <c r="U4">
        <v>16</v>
      </c>
      <c r="V4">
        <f t="shared" si="8"/>
        <v>4</v>
      </c>
      <c r="X4">
        <v>-16</v>
      </c>
      <c r="Y4">
        <f t="shared" si="9"/>
        <v>16</v>
      </c>
    </row>
    <row r="5" spans="1:25" x14ac:dyDescent="0.25">
      <c r="A5">
        <v>2.8</v>
      </c>
      <c r="B5">
        <f t="shared" si="0"/>
        <v>2</v>
      </c>
      <c r="C5">
        <f t="shared" si="1"/>
        <v>3</v>
      </c>
      <c r="D5">
        <f t="shared" si="2"/>
        <v>2.8</v>
      </c>
      <c r="E5">
        <f t="shared" si="3"/>
        <v>2</v>
      </c>
      <c r="G5">
        <v>8</v>
      </c>
      <c r="H5">
        <v>2</v>
      </c>
      <c r="I5">
        <f t="shared" si="4"/>
        <v>64</v>
      </c>
      <c r="K5">
        <v>8</v>
      </c>
      <c r="L5" t="str">
        <f t="shared" si="5"/>
        <v>VIII</v>
      </c>
      <c r="N5" t="s">
        <v>93</v>
      </c>
      <c r="O5">
        <f t="shared" si="6"/>
        <v>8</v>
      </c>
      <c r="Q5">
        <v>8</v>
      </c>
      <c r="R5" t="str">
        <f t="shared" si="7"/>
        <v>########</v>
      </c>
      <c r="U5">
        <v>125</v>
      </c>
      <c r="V5">
        <f t="shared" si="8"/>
        <v>11.180339887498949</v>
      </c>
      <c r="X5">
        <v>-125</v>
      </c>
      <c r="Y5">
        <f t="shared" si="9"/>
        <v>125</v>
      </c>
    </row>
    <row r="6" spans="1:25" x14ac:dyDescent="0.25">
      <c r="A6">
        <v>3.4</v>
      </c>
      <c r="B6">
        <f t="shared" si="0"/>
        <v>3</v>
      </c>
      <c r="C6">
        <f t="shared" si="1"/>
        <v>3</v>
      </c>
      <c r="D6">
        <f t="shared" si="2"/>
        <v>3.4</v>
      </c>
      <c r="E6">
        <f t="shared" si="3"/>
        <v>3</v>
      </c>
      <c r="G6">
        <v>5</v>
      </c>
      <c r="H6">
        <v>2</v>
      </c>
      <c r="I6">
        <f t="shared" si="4"/>
        <v>25</v>
      </c>
      <c r="K6">
        <v>5</v>
      </c>
      <c r="L6" t="str">
        <f t="shared" si="5"/>
        <v>V</v>
      </c>
      <c r="N6" t="s">
        <v>94</v>
      </c>
      <c r="O6">
        <f t="shared" si="6"/>
        <v>5</v>
      </c>
      <c r="Q6">
        <v>5</v>
      </c>
      <c r="R6" t="str">
        <f t="shared" si="7"/>
        <v>#####</v>
      </c>
      <c r="U6">
        <v>625</v>
      </c>
      <c r="V6">
        <f t="shared" si="8"/>
        <v>25</v>
      </c>
      <c r="X6">
        <v>-625</v>
      </c>
      <c r="Y6">
        <f t="shared" si="9"/>
        <v>625</v>
      </c>
    </row>
    <row r="7" spans="1:25" x14ac:dyDescent="0.25">
      <c r="A7">
        <v>5.5</v>
      </c>
      <c r="B7">
        <f t="shared" si="0"/>
        <v>5</v>
      </c>
      <c r="C7">
        <f t="shared" si="1"/>
        <v>6</v>
      </c>
      <c r="D7">
        <f t="shared" si="2"/>
        <v>5.5</v>
      </c>
      <c r="E7">
        <f t="shared" si="3"/>
        <v>5</v>
      </c>
      <c r="G7">
        <v>9</v>
      </c>
      <c r="H7">
        <v>3</v>
      </c>
      <c r="I7">
        <f t="shared" si="4"/>
        <v>729</v>
      </c>
      <c r="K7">
        <v>9</v>
      </c>
      <c r="L7" t="str">
        <f t="shared" si="5"/>
        <v>IX</v>
      </c>
      <c r="N7" t="s">
        <v>95</v>
      </c>
      <c r="O7">
        <f t="shared" si="6"/>
        <v>9</v>
      </c>
      <c r="Q7">
        <v>9</v>
      </c>
      <c r="R7" t="str">
        <f t="shared" si="7"/>
        <v>#########</v>
      </c>
      <c r="U7">
        <v>81</v>
      </c>
      <c r="V7">
        <f t="shared" si="8"/>
        <v>9</v>
      </c>
      <c r="X7">
        <v>-81</v>
      </c>
      <c r="Y7">
        <f t="shared" si="9"/>
        <v>81</v>
      </c>
    </row>
    <row r="8" spans="1:25" x14ac:dyDescent="0.25">
      <c r="A8">
        <v>6.3</v>
      </c>
      <c r="B8">
        <f t="shared" si="0"/>
        <v>6</v>
      </c>
      <c r="C8">
        <f t="shared" si="1"/>
        <v>6</v>
      </c>
      <c r="D8">
        <f t="shared" si="2"/>
        <v>6.3</v>
      </c>
      <c r="E8">
        <f t="shared" si="3"/>
        <v>6</v>
      </c>
      <c r="G8">
        <v>2</v>
      </c>
      <c r="H8">
        <v>3</v>
      </c>
      <c r="I8">
        <f t="shared" si="4"/>
        <v>8</v>
      </c>
      <c r="K8">
        <v>2</v>
      </c>
      <c r="L8" t="str">
        <f t="shared" si="5"/>
        <v>II</v>
      </c>
      <c r="N8" t="s">
        <v>92</v>
      </c>
      <c r="O8">
        <f t="shared" si="6"/>
        <v>2</v>
      </c>
      <c r="Q8">
        <v>2</v>
      </c>
      <c r="R8" t="str">
        <f t="shared" si="7"/>
        <v>##</v>
      </c>
      <c r="U8">
        <v>36</v>
      </c>
      <c r="V8">
        <f t="shared" si="8"/>
        <v>6</v>
      </c>
      <c r="X8">
        <v>-36</v>
      </c>
      <c r="Y8">
        <f t="shared" si="9"/>
        <v>36</v>
      </c>
    </row>
    <row r="9" spans="1:25" x14ac:dyDescent="0.25">
      <c r="A9">
        <v>2.8</v>
      </c>
      <c r="B9">
        <f t="shared" si="0"/>
        <v>2</v>
      </c>
      <c r="C9">
        <f t="shared" si="1"/>
        <v>3</v>
      </c>
      <c r="D9">
        <f t="shared" si="2"/>
        <v>2.8</v>
      </c>
      <c r="E9">
        <f t="shared" si="3"/>
        <v>2</v>
      </c>
      <c r="G9">
        <v>7</v>
      </c>
      <c r="H9">
        <v>2</v>
      </c>
      <c r="I9">
        <f t="shared" si="4"/>
        <v>49</v>
      </c>
      <c r="K9">
        <v>7</v>
      </c>
      <c r="L9" t="str">
        <f t="shared" si="5"/>
        <v>VII</v>
      </c>
      <c r="N9" t="s">
        <v>96</v>
      </c>
      <c r="O9">
        <f t="shared" si="6"/>
        <v>7</v>
      </c>
      <c r="Q9">
        <v>7</v>
      </c>
      <c r="R9" t="str">
        <f t="shared" si="7"/>
        <v>#######</v>
      </c>
      <c r="U9">
        <v>49</v>
      </c>
      <c r="V9">
        <f t="shared" si="8"/>
        <v>7</v>
      </c>
      <c r="X9">
        <v>-49</v>
      </c>
      <c r="Y9">
        <f t="shared" si="9"/>
        <v>49</v>
      </c>
    </row>
    <row r="10" spans="1:25" x14ac:dyDescent="0.25">
      <c r="A10">
        <v>5.2</v>
      </c>
      <c r="B10">
        <f t="shared" si="0"/>
        <v>5</v>
      </c>
      <c r="C10">
        <f t="shared" si="1"/>
        <v>5</v>
      </c>
      <c r="D10">
        <f t="shared" si="2"/>
        <v>5.2</v>
      </c>
      <c r="E10">
        <f t="shared" si="3"/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0B8A-933F-4454-B6E1-803F16D7713B}">
  <sheetPr codeName="Sheet8"/>
  <dimension ref="A1:L21"/>
  <sheetViews>
    <sheetView topLeftCell="D1" zoomScale="120" zoomScaleNormal="120" workbookViewId="0">
      <selection activeCell="F13" sqref="F13"/>
    </sheetView>
  </sheetViews>
  <sheetFormatPr defaultRowHeight="15" x14ac:dyDescent="0.25"/>
  <cols>
    <col min="1" max="1" width="9.5703125" bestFit="1" customWidth="1"/>
    <col min="2" max="2" width="14.85546875" bestFit="1" customWidth="1"/>
    <col min="3" max="3" width="15.85546875" customWidth="1"/>
    <col min="4" max="4" width="9.7109375" bestFit="1" customWidth="1"/>
    <col min="5" max="5" width="6.7109375" bestFit="1" customWidth="1"/>
    <col min="6" max="6" width="11.140625" bestFit="1" customWidth="1"/>
    <col min="7" max="7" width="10.7109375" bestFit="1" customWidth="1"/>
    <col min="8" max="8" width="11" customWidth="1"/>
    <col min="9" max="9" width="12.28515625" bestFit="1" customWidth="1"/>
    <col min="10" max="11" width="13.140625" customWidth="1"/>
    <col min="12" max="12" width="69.28515625" bestFit="1" customWidth="1"/>
  </cols>
  <sheetData>
    <row r="1" spans="1:12" x14ac:dyDescent="0.25">
      <c r="A1" s="1" t="s">
        <v>100</v>
      </c>
      <c r="B1" s="1" t="s">
        <v>0</v>
      </c>
      <c r="C1" s="1" t="s">
        <v>101</v>
      </c>
      <c r="D1" s="1" t="s">
        <v>102</v>
      </c>
      <c r="E1" s="1" t="s">
        <v>55</v>
      </c>
      <c r="F1" s="1" t="s">
        <v>103</v>
      </c>
      <c r="G1" s="2" t="s">
        <v>104</v>
      </c>
      <c r="H1" s="1" t="s">
        <v>328</v>
      </c>
      <c r="K1">
        <v>10000</v>
      </c>
    </row>
    <row r="2" spans="1:12" x14ac:dyDescent="0.25">
      <c r="A2">
        <v>1</v>
      </c>
      <c r="B2" t="s">
        <v>1</v>
      </c>
      <c r="C2" t="s">
        <v>105</v>
      </c>
      <c r="D2" t="s">
        <v>106</v>
      </c>
      <c r="E2" t="s">
        <v>107</v>
      </c>
      <c r="F2" t="s">
        <v>108</v>
      </c>
      <c r="G2" s="3">
        <v>10000</v>
      </c>
      <c r="H2">
        <f>RANK(G2,G2:G21)</f>
        <v>8</v>
      </c>
    </row>
    <row r="3" spans="1:12" x14ac:dyDescent="0.25">
      <c r="A3">
        <v>2</v>
      </c>
      <c r="B3" t="s">
        <v>2</v>
      </c>
      <c r="C3" t="s">
        <v>109</v>
      </c>
      <c r="D3" t="s">
        <v>110</v>
      </c>
      <c r="E3" t="s">
        <v>111</v>
      </c>
      <c r="F3" t="s">
        <v>112</v>
      </c>
      <c r="G3" s="3">
        <v>12000</v>
      </c>
      <c r="I3" t="s">
        <v>316</v>
      </c>
      <c r="J3" s="3">
        <f>SUM(G2:G21)</f>
        <v>184600</v>
      </c>
      <c r="K3" s="3"/>
    </row>
    <row r="4" spans="1:12" x14ac:dyDescent="0.25">
      <c r="A4">
        <v>3</v>
      </c>
      <c r="B4" t="s">
        <v>3</v>
      </c>
      <c r="C4" t="s">
        <v>113</v>
      </c>
      <c r="E4" t="s">
        <v>111</v>
      </c>
      <c r="F4" t="s">
        <v>115</v>
      </c>
      <c r="G4" s="3">
        <v>11250</v>
      </c>
      <c r="I4" t="s">
        <v>317</v>
      </c>
      <c r="J4" s="3">
        <f>AVERAGE(G2:G21)</f>
        <v>9230</v>
      </c>
      <c r="K4" s="3"/>
    </row>
    <row r="5" spans="1:12" x14ac:dyDescent="0.25">
      <c r="A5">
        <v>4</v>
      </c>
      <c r="B5" t="s">
        <v>4</v>
      </c>
      <c r="C5" t="s">
        <v>116</v>
      </c>
      <c r="D5" t="s">
        <v>117</v>
      </c>
      <c r="E5" t="s">
        <v>118</v>
      </c>
      <c r="F5" t="s">
        <v>119</v>
      </c>
      <c r="G5" s="3">
        <v>12000</v>
      </c>
      <c r="I5" t="s">
        <v>318</v>
      </c>
      <c r="J5" s="3">
        <f>MAX(G2:G21)</f>
        <v>16250</v>
      </c>
      <c r="K5" s="3"/>
    </row>
    <row r="6" spans="1:12" x14ac:dyDescent="0.25">
      <c r="A6">
        <v>5</v>
      </c>
      <c r="B6" t="s">
        <v>5</v>
      </c>
      <c r="D6" t="s">
        <v>110</v>
      </c>
      <c r="E6" t="s">
        <v>111</v>
      </c>
      <c r="F6" t="s">
        <v>108</v>
      </c>
      <c r="G6" s="3">
        <v>16250</v>
      </c>
      <c r="I6" t="s">
        <v>319</v>
      </c>
      <c r="J6" s="3">
        <f>MIN(G2:G21)</f>
        <v>4500</v>
      </c>
      <c r="K6" s="3"/>
    </row>
    <row r="7" spans="1:12" x14ac:dyDescent="0.25">
      <c r="A7">
        <v>6</v>
      </c>
      <c r="B7" t="s">
        <v>6</v>
      </c>
      <c r="C7" t="s">
        <v>120</v>
      </c>
      <c r="D7" t="s">
        <v>121</v>
      </c>
      <c r="E7" t="s">
        <v>122</v>
      </c>
      <c r="F7" t="s">
        <v>112</v>
      </c>
      <c r="G7" s="3">
        <v>6400</v>
      </c>
      <c r="I7" t="s">
        <v>320</v>
      </c>
      <c r="J7">
        <f>COUNT(G2:G21)</f>
        <v>20</v>
      </c>
    </row>
    <row r="8" spans="1:12" x14ac:dyDescent="0.25">
      <c r="A8">
        <v>7</v>
      </c>
      <c r="B8" t="s">
        <v>7</v>
      </c>
      <c r="C8" t="s">
        <v>123</v>
      </c>
      <c r="D8" t="s">
        <v>124</v>
      </c>
      <c r="E8" t="s">
        <v>122</v>
      </c>
      <c r="F8" t="s">
        <v>115</v>
      </c>
      <c r="G8" s="3">
        <v>4500</v>
      </c>
      <c r="I8" t="s">
        <v>321</v>
      </c>
      <c r="J8">
        <f>COUNTA(B2:B21)</f>
        <v>20</v>
      </c>
      <c r="L8" t="s">
        <v>152</v>
      </c>
    </row>
    <row r="9" spans="1:12" x14ac:dyDescent="0.25">
      <c r="A9">
        <v>8</v>
      </c>
      <c r="B9" t="s">
        <v>8</v>
      </c>
      <c r="C9" t="s">
        <v>125</v>
      </c>
      <c r="D9" t="s">
        <v>124</v>
      </c>
      <c r="E9" t="s">
        <v>122</v>
      </c>
      <c r="F9" t="s">
        <v>119</v>
      </c>
      <c r="G9" s="3">
        <v>6275</v>
      </c>
      <c r="I9" t="s">
        <v>322</v>
      </c>
      <c r="J9">
        <f>COUNTBLANK(C2:C21)</f>
        <v>3</v>
      </c>
      <c r="L9" t="s">
        <v>153</v>
      </c>
    </row>
    <row r="10" spans="1:12" x14ac:dyDescent="0.25">
      <c r="A10">
        <v>9</v>
      </c>
      <c r="B10" t="s">
        <v>9</v>
      </c>
      <c r="C10" t="s">
        <v>126</v>
      </c>
      <c r="D10" t="s">
        <v>106</v>
      </c>
      <c r="E10" t="s">
        <v>107</v>
      </c>
      <c r="F10" t="s">
        <v>108</v>
      </c>
      <c r="G10" s="3">
        <v>6250</v>
      </c>
      <c r="I10" t="s">
        <v>323</v>
      </c>
      <c r="J10">
        <f>COUNTIF(G2:G21,"&gt;10000")</f>
        <v>7</v>
      </c>
      <c r="L10" t="s">
        <v>154</v>
      </c>
    </row>
    <row r="11" spans="1:12" x14ac:dyDescent="0.25">
      <c r="A11">
        <v>10</v>
      </c>
      <c r="B11" t="s">
        <v>10</v>
      </c>
      <c r="D11" t="s">
        <v>127</v>
      </c>
      <c r="E11" t="s">
        <v>118</v>
      </c>
      <c r="F11" t="s">
        <v>112</v>
      </c>
      <c r="G11" s="3">
        <v>8750</v>
      </c>
      <c r="I11" t="s">
        <v>323</v>
      </c>
      <c r="J11">
        <f>COUNTIF(G2:G21,"&lt;=10000")</f>
        <v>13</v>
      </c>
    </row>
    <row r="12" spans="1:12" x14ac:dyDescent="0.25">
      <c r="A12">
        <v>11</v>
      </c>
      <c r="B12" t="s">
        <v>128</v>
      </c>
      <c r="C12" t="s">
        <v>129</v>
      </c>
      <c r="D12" t="s">
        <v>127</v>
      </c>
      <c r="E12" t="s">
        <v>118</v>
      </c>
      <c r="F12" t="s">
        <v>115</v>
      </c>
      <c r="G12" s="3">
        <v>11250</v>
      </c>
      <c r="I12" t="s">
        <v>323</v>
      </c>
      <c r="J12">
        <f>COUNTIF(F2:F21,F2)</f>
        <v>5</v>
      </c>
    </row>
    <row r="13" spans="1:12" x14ac:dyDescent="0.25">
      <c r="A13">
        <v>12</v>
      </c>
      <c r="B13" t="s">
        <v>130</v>
      </c>
      <c r="C13" t="s">
        <v>131</v>
      </c>
      <c r="D13" t="s">
        <v>132</v>
      </c>
      <c r="E13" t="s">
        <v>118</v>
      </c>
      <c r="F13" t="s">
        <v>119</v>
      </c>
      <c r="G13" s="3">
        <v>10000</v>
      </c>
      <c r="I13" t="s">
        <v>324</v>
      </c>
      <c r="J13">
        <f>SUMIF(F2:F21,F2,G2:G21)</f>
        <v>58750</v>
      </c>
    </row>
    <row r="14" spans="1:12" x14ac:dyDescent="0.25">
      <c r="A14">
        <v>13</v>
      </c>
      <c r="B14" t="s">
        <v>133</v>
      </c>
      <c r="C14" t="s">
        <v>109</v>
      </c>
      <c r="D14" t="s">
        <v>134</v>
      </c>
      <c r="E14" t="s">
        <v>118</v>
      </c>
      <c r="F14" t="s">
        <v>108</v>
      </c>
      <c r="G14" s="3">
        <v>16250</v>
      </c>
      <c r="I14" t="s">
        <v>325</v>
      </c>
      <c r="J14">
        <f>AVERAGEIF(F2:F21,F2,G2:G21)</f>
        <v>11750</v>
      </c>
    </row>
    <row r="15" spans="1:12" x14ac:dyDescent="0.25">
      <c r="A15">
        <v>14</v>
      </c>
      <c r="B15" t="s">
        <v>135</v>
      </c>
      <c r="C15" t="s">
        <v>113</v>
      </c>
      <c r="D15" t="s">
        <v>132</v>
      </c>
      <c r="E15" t="s">
        <v>118</v>
      </c>
      <c r="F15" t="s">
        <v>112</v>
      </c>
      <c r="G15" s="3">
        <v>6400</v>
      </c>
      <c r="I15" t="s">
        <v>323</v>
      </c>
      <c r="J15">
        <f>COUNTIF(D2:D21,D12)</f>
        <v>2</v>
      </c>
      <c r="L15" t="s">
        <v>149</v>
      </c>
    </row>
    <row r="16" spans="1:12" x14ac:dyDescent="0.25">
      <c r="A16">
        <v>15</v>
      </c>
      <c r="B16" t="s">
        <v>136</v>
      </c>
      <c r="C16" t="s">
        <v>137</v>
      </c>
      <c r="D16" t="s">
        <v>110</v>
      </c>
      <c r="E16" t="s">
        <v>111</v>
      </c>
      <c r="F16" t="s">
        <v>115</v>
      </c>
      <c r="G16" s="3">
        <v>4500</v>
      </c>
      <c r="I16" t="s">
        <v>326</v>
      </c>
      <c r="J16">
        <f>LARGE(G2:G21,4)</f>
        <v>12000</v>
      </c>
      <c r="L16" t="s">
        <v>150</v>
      </c>
    </row>
    <row r="17" spans="1:12" x14ac:dyDescent="0.25">
      <c r="A17">
        <v>16</v>
      </c>
      <c r="B17" t="s">
        <v>138</v>
      </c>
      <c r="D17" t="s">
        <v>132</v>
      </c>
      <c r="E17" t="s">
        <v>118</v>
      </c>
      <c r="F17" t="s">
        <v>119</v>
      </c>
      <c r="G17" s="3">
        <v>6275</v>
      </c>
      <c r="I17" t="s">
        <v>327</v>
      </c>
      <c r="J17">
        <f>SMALL(G2:G21,4)</f>
        <v>6250</v>
      </c>
      <c r="L17" t="s">
        <v>151</v>
      </c>
    </row>
    <row r="18" spans="1:12" x14ac:dyDescent="0.25">
      <c r="A18">
        <v>17</v>
      </c>
      <c r="B18" t="s">
        <v>139</v>
      </c>
      <c r="C18" t="s">
        <v>140</v>
      </c>
      <c r="D18" t="s">
        <v>106</v>
      </c>
      <c r="E18" t="s">
        <v>107</v>
      </c>
      <c r="F18" t="s">
        <v>141</v>
      </c>
      <c r="G18" s="3">
        <v>6250</v>
      </c>
      <c r="I18">
        <v>6275</v>
      </c>
      <c r="J18">
        <f>RANK(G9,G2:G21)</f>
        <v>15</v>
      </c>
    </row>
    <row r="19" spans="1:12" x14ac:dyDescent="0.25">
      <c r="A19">
        <v>18</v>
      </c>
      <c r="B19" t="s">
        <v>142</v>
      </c>
      <c r="C19" t="s">
        <v>143</v>
      </c>
      <c r="D19" t="s">
        <v>106</v>
      </c>
      <c r="E19" t="s">
        <v>107</v>
      </c>
      <c r="F19" t="s">
        <v>119</v>
      </c>
      <c r="G19" s="3">
        <v>8750</v>
      </c>
    </row>
    <row r="20" spans="1:12" x14ac:dyDescent="0.25">
      <c r="A20">
        <v>19</v>
      </c>
      <c r="B20" t="s">
        <v>144</v>
      </c>
      <c r="C20" t="s">
        <v>145</v>
      </c>
      <c r="D20" t="s">
        <v>146</v>
      </c>
      <c r="E20" t="s">
        <v>107</v>
      </c>
      <c r="F20" t="s">
        <v>141</v>
      </c>
      <c r="G20" s="3">
        <v>11250</v>
      </c>
      <c r="J20">
        <f>RANK(I18,G2:G21,1)</f>
        <v>5</v>
      </c>
    </row>
    <row r="21" spans="1:12" x14ac:dyDescent="0.25">
      <c r="A21">
        <v>20</v>
      </c>
      <c r="B21" t="s">
        <v>147</v>
      </c>
      <c r="C21" t="s">
        <v>148</v>
      </c>
      <c r="D21" t="s">
        <v>114</v>
      </c>
      <c r="E21" t="s">
        <v>111</v>
      </c>
      <c r="F21" t="s">
        <v>108</v>
      </c>
      <c r="G21" s="3">
        <v>10000</v>
      </c>
    </row>
  </sheetData>
  <dataValidations disablePrompts="1" count="3">
    <dataValidation type="custom" operator="greaterThanOrEqual" allowBlank="1" showInputMessage="1" showErrorMessage="1" sqref="G2:G21" xr:uid="{5536C0C2-2435-420F-96C7-E3A0CA654505}">
      <formula1>ISNUMBER(G2)</formula1>
    </dataValidation>
    <dataValidation type="custom" operator="greaterThanOrEqual" allowBlank="1" showInputMessage="1" showErrorMessage="1" sqref="G1" xr:uid="{95329FBA-CE69-40A7-914D-85AD5F5FCB2D}">
      <formula1>ISNUMBER(G2)</formula1>
    </dataValidation>
    <dataValidation type="custom" allowBlank="1" showInputMessage="1" showErrorMessage="1" sqref="B1:B21" xr:uid="{3E1DA0DF-09F8-4CC1-BC8B-6E897BC8B175}">
      <formula1>ISTEXT(B1)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03CB-9C90-48F7-903C-0D50835FB35D}">
  <sheetPr codeName="Sheet9"/>
  <dimension ref="A1:J11"/>
  <sheetViews>
    <sheetView zoomScale="130" zoomScaleNormal="130" workbookViewId="0">
      <selection activeCell="G14" sqref="G14"/>
    </sheetView>
  </sheetViews>
  <sheetFormatPr defaultRowHeight="15" x14ac:dyDescent="0.25"/>
  <cols>
    <col min="1" max="1" width="13.7109375" bestFit="1" customWidth="1"/>
    <col min="2" max="2" width="8.7109375" bestFit="1" customWidth="1"/>
    <col min="5" max="5" width="9.7109375" bestFit="1" customWidth="1"/>
    <col min="6" max="6" width="10.5703125" bestFit="1" customWidth="1"/>
    <col min="7" max="7" width="13.7109375" bestFit="1" customWidth="1"/>
  </cols>
  <sheetData>
    <row r="1" spans="1:10" x14ac:dyDescent="0.25">
      <c r="J1" t="s">
        <v>155</v>
      </c>
    </row>
    <row r="2" spans="1:10" x14ac:dyDescent="0.25">
      <c r="J2" s="4">
        <v>0.1</v>
      </c>
    </row>
    <row r="3" spans="1:10" x14ac:dyDescent="0.25">
      <c r="B3" s="12" t="s">
        <v>156</v>
      </c>
      <c r="C3" s="12"/>
      <c r="D3" s="12"/>
      <c r="F3" s="12" t="s">
        <v>157</v>
      </c>
      <c r="G3" s="12"/>
      <c r="H3" s="12"/>
      <c r="I3" s="12"/>
    </row>
    <row r="4" spans="1:10" x14ac:dyDescent="0.25">
      <c r="A4" t="s">
        <v>158</v>
      </c>
      <c r="B4" t="s">
        <v>159</v>
      </c>
      <c r="C4" t="s">
        <v>160</v>
      </c>
      <c r="D4" t="s">
        <v>161</v>
      </c>
      <c r="F4" t="s">
        <v>162</v>
      </c>
      <c r="G4" t="s">
        <v>163</v>
      </c>
      <c r="H4" t="s">
        <v>164</v>
      </c>
    </row>
    <row r="5" spans="1:10" x14ac:dyDescent="0.25">
      <c r="A5" t="s">
        <v>165</v>
      </c>
      <c r="B5">
        <v>23</v>
      </c>
      <c r="C5">
        <v>6.7</v>
      </c>
      <c r="F5" t="s">
        <v>166</v>
      </c>
      <c r="G5">
        <v>8900</v>
      </c>
    </row>
    <row r="6" spans="1:10" x14ac:dyDescent="0.25">
      <c r="A6" t="s">
        <v>167</v>
      </c>
      <c r="B6">
        <v>443</v>
      </c>
      <c r="C6">
        <v>4.5</v>
      </c>
      <c r="E6" s="5"/>
      <c r="F6" t="s">
        <v>168</v>
      </c>
      <c r="G6">
        <v>45000</v>
      </c>
    </row>
    <row r="7" spans="1:10" x14ac:dyDescent="0.25">
      <c r="A7" t="s">
        <v>169</v>
      </c>
      <c r="B7">
        <v>454</v>
      </c>
      <c r="C7">
        <v>6.7</v>
      </c>
      <c r="F7" t="s">
        <v>170</v>
      </c>
      <c r="G7">
        <v>34005</v>
      </c>
    </row>
    <row r="8" spans="1:10" x14ac:dyDescent="0.25">
      <c r="A8" t="s">
        <v>171</v>
      </c>
      <c r="B8">
        <v>65</v>
      </c>
      <c r="C8">
        <v>8.1999999999999993</v>
      </c>
      <c r="F8" t="s">
        <v>172</v>
      </c>
      <c r="G8">
        <v>23900</v>
      </c>
    </row>
    <row r="9" spans="1:10" x14ac:dyDescent="0.25">
      <c r="A9" t="s">
        <v>173</v>
      </c>
      <c r="B9">
        <v>34</v>
      </c>
      <c r="C9">
        <v>5.5</v>
      </c>
      <c r="E9" s="5"/>
      <c r="F9" t="s">
        <v>174</v>
      </c>
      <c r="G9">
        <v>32000</v>
      </c>
    </row>
    <row r="10" spans="1:10" x14ac:dyDescent="0.25">
      <c r="A10" t="s">
        <v>175</v>
      </c>
      <c r="B10">
        <v>45</v>
      </c>
      <c r="C10">
        <v>3.8</v>
      </c>
      <c r="F10" t="s">
        <v>176</v>
      </c>
      <c r="G10">
        <v>12000</v>
      </c>
    </row>
    <row r="11" spans="1:10" x14ac:dyDescent="0.25">
      <c r="A11" t="s">
        <v>177</v>
      </c>
      <c r="B11">
        <v>32</v>
      </c>
      <c r="C11">
        <v>7.4</v>
      </c>
    </row>
  </sheetData>
  <mergeCells count="2">
    <mergeCell ref="B3:D3"/>
    <mergeCell ref="F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F0B49-4E0A-4B05-8FA5-188D814BEFF8}">
  <sheetPr codeName="Sheet10"/>
  <dimension ref="A1:J10"/>
  <sheetViews>
    <sheetView zoomScale="180" zoomScaleNormal="180" workbookViewId="0">
      <selection activeCell="H9" sqref="H9"/>
    </sheetView>
  </sheetViews>
  <sheetFormatPr defaultRowHeight="15" x14ac:dyDescent="0.25"/>
  <sheetData>
    <row r="1" spans="1:10" x14ac:dyDescent="0.2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</row>
    <row r="2" spans="1:10" x14ac:dyDescent="0.25">
      <c r="A2">
        <v>2</v>
      </c>
    </row>
    <row r="3" spans="1:10" x14ac:dyDescent="0.25">
      <c r="A3">
        <v>3</v>
      </c>
    </row>
    <row r="4" spans="1:10" x14ac:dyDescent="0.25">
      <c r="A4">
        <v>4</v>
      </c>
    </row>
    <row r="5" spans="1:10" x14ac:dyDescent="0.25">
      <c r="A5">
        <v>5</v>
      </c>
    </row>
    <row r="6" spans="1:10" x14ac:dyDescent="0.25">
      <c r="A6">
        <v>6</v>
      </c>
    </row>
    <row r="7" spans="1:10" x14ac:dyDescent="0.25">
      <c r="A7">
        <v>7</v>
      </c>
    </row>
    <row r="8" spans="1:10" x14ac:dyDescent="0.25">
      <c r="A8">
        <v>8</v>
      </c>
    </row>
    <row r="9" spans="1:10" x14ac:dyDescent="0.25">
      <c r="A9">
        <v>9</v>
      </c>
    </row>
    <row r="10" spans="1:10" x14ac:dyDescent="0.25">
      <c r="A10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C42C5-F580-424C-94EB-DB4798F8F215}">
  <sheetPr codeName="Sheet11"/>
  <dimension ref="A1:E14"/>
  <sheetViews>
    <sheetView zoomScale="170" zoomScaleNormal="170" workbookViewId="0">
      <selection activeCell="D7" sqref="D7"/>
    </sheetView>
  </sheetViews>
  <sheetFormatPr defaultRowHeight="15" x14ac:dyDescent="0.25"/>
  <cols>
    <col min="1" max="1" width="14.85546875" bestFit="1" customWidth="1"/>
    <col min="2" max="2" width="10.7109375" bestFit="1" customWidth="1"/>
  </cols>
  <sheetData>
    <row r="1" spans="1:5" x14ac:dyDescent="0.25">
      <c r="A1" s="1" t="s">
        <v>0</v>
      </c>
      <c r="B1" t="s">
        <v>104</v>
      </c>
    </row>
    <row r="2" spans="1:5" x14ac:dyDescent="0.25">
      <c r="A2" t="s">
        <v>2</v>
      </c>
      <c r="B2">
        <v>10000</v>
      </c>
    </row>
    <row r="3" spans="1:5" x14ac:dyDescent="0.25">
      <c r="A3" t="s">
        <v>142</v>
      </c>
      <c r="B3">
        <v>12000</v>
      </c>
      <c r="E3" t="s">
        <v>179</v>
      </c>
    </row>
    <row r="4" spans="1:5" x14ac:dyDescent="0.25">
      <c r="A4" t="s">
        <v>133</v>
      </c>
      <c r="B4">
        <v>11250</v>
      </c>
      <c r="E4" t="s">
        <v>180</v>
      </c>
    </row>
    <row r="5" spans="1:5" x14ac:dyDescent="0.25">
      <c r="A5" t="s">
        <v>9</v>
      </c>
      <c r="B5">
        <v>12000</v>
      </c>
      <c r="E5" t="s">
        <v>181</v>
      </c>
    </row>
    <row r="6" spans="1:5" x14ac:dyDescent="0.25">
      <c r="A6" t="s">
        <v>10</v>
      </c>
      <c r="B6">
        <v>16250</v>
      </c>
      <c r="E6" t="s">
        <v>182</v>
      </c>
    </row>
    <row r="7" spans="1:5" x14ac:dyDescent="0.25">
      <c r="A7" t="s">
        <v>135</v>
      </c>
      <c r="B7">
        <v>6400</v>
      </c>
      <c r="E7" t="s">
        <v>183</v>
      </c>
    </row>
    <row r="8" spans="1:5" x14ac:dyDescent="0.25">
      <c r="A8" t="s">
        <v>6</v>
      </c>
      <c r="B8">
        <v>4500</v>
      </c>
    </row>
    <row r="9" spans="1:5" x14ac:dyDescent="0.25">
      <c r="A9" t="s">
        <v>1</v>
      </c>
      <c r="B9">
        <v>6275</v>
      </c>
    </row>
    <row r="10" spans="1:5" x14ac:dyDescent="0.25">
      <c r="A10" t="s">
        <v>147</v>
      </c>
      <c r="B10">
        <v>6250</v>
      </c>
    </row>
    <row r="11" spans="1:5" x14ac:dyDescent="0.25">
      <c r="A11" t="s">
        <v>8</v>
      </c>
      <c r="B11">
        <v>8750</v>
      </c>
    </row>
    <row r="12" spans="1:5" x14ac:dyDescent="0.25">
      <c r="A12" t="s">
        <v>7</v>
      </c>
      <c r="B12">
        <v>11250</v>
      </c>
    </row>
    <row r="13" spans="1:5" x14ac:dyDescent="0.25">
      <c r="A13" t="s">
        <v>136</v>
      </c>
      <c r="B13">
        <v>10000</v>
      </c>
    </row>
    <row r="14" spans="1:5" x14ac:dyDescent="0.25">
      <c r="A14" t="s">
        <v>3</v>
      </c>
      <c r="B14">
        <v>16250</v>
      </c>
    </row>
  </sheetData>
  <sortState xmlns:xlrd2="http://schemas.microsoft.com/office/spreadsheetml/2017/richdata2" ref="A2:A19">
    <sortCondition ref="A1:A19"/>
  </sortState>
  <dataValidations count="2">
    <dataValidation type="custom" allowBlank="1" showInputMessage="1" showErrorMessage="1" sqref="A1:A19" xr:uid="{194FE7B6-A485-47CC-AC51-4CFE8541F87A}">
      <formula1>ISTEXT(A1)</formula1>
    </dataValidation>
    <dataValidation type="custom" operator="greaterThanOrEqual" allowBlank="1" showInputMessage="1" showErrorMessage="1" sqref="B2:B14" xr:uid="{3968AF47-DB10-4369-86BE-9121C0406822}">
      <formula1>ISNUMBER(B2)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5E817-D8B3-476C-80D6-0F216A09C9A3}">
  <sheetPr codeName="Sheet12"/>
  <dimension ref="A1:F11"/>
  <sheetViews>
    <sheetView zoomScale="190" zoomScaleNormal="190" workbookViewId="0">
      <selection activeCell="H10" sqref="H10"/>
    </sheetView>
  </sheetViews>
  <sheetFormatPr defaultRowHeight="15" x14ac:dyDescent="0.25"/>
  <cols>
    <col min="1" max="1" width="11.7109375" bestFit="1" customWidth="1"/>
    <col min="2" max="3" width="15.7109375" bestFit="1" customWidth="1"/>
    <col min="5" max="5" width="9.28515625" bestFit="1" customWidth="1"/>
    <col min="6" max="7" width="10.42578125" bestFit="1" customWidth="1"/>
  </cols>
  <sheetData>
    <row r="1" spans="1:6" x14ac:dyDescent="0.25">
      <c r="C1" t="s">
        <v>189</v>
      </c>
      <c r="D1" t="s">
        <v>191</v>
      </c>
      <c r="E1" t="s">
        <v>192</v>
      </c>
      <c r="F1" t="s">
        <v>193</v>
      </c>
    </row>
    <row r="2" spans="1:6" x14ac:dyDescent="0.25">
      <c r="A2" t="s">
        <v>190</v>
      </c>
      <c r="B2" t="s">
        <v>184</v>
      </c>
      <c r="C2" s="7">
        <v>0.61117256944271503</v>
      </c>
    </row>
    <row r="3" spans="1:6" x14ac:dyDescent="0.25">
      <c r="A3" t="s">
        <v>189</v>
      </c>
      <c r="B3" t="s">
        <v>185</v>
      </c>
    </row>
    <row r="4" spans="1:6" x14ac:dyDescent="0.25">
      <c r="A4" t="s">
        <v>186</v>
      </c>
      <c r="C4" s="5"/>
    </row>
    <row r="5" spans="1:6" x14ac:dyDescent="0.25">
      <c r="A5" t="s">
        <v>187</v>
      </c>
      <c r="C5" s="6"/>
    </row>
    <row r="6" spans="1:6" x14ac:dyDescent="0.25">
      <c r="A6" t="s">
        <v>188</v>
      </c>
      <c r="C6" t="s">
        <v>191</v>
      </c>
      <c r="D6" t="s">
        <v>192</v>
      </c>
      <c r="E6" t="s">
        <v>193</v>
      </c>
      <c r="F6" t="s">
        <v>189</v>
      </c>
    </row>
    <row r="7" spans="1:6" x14ac:dyDescent="0.25">
      <c r="C7">
        <v>14</v>
      </c>
      <c r="D7">
        <v>40</v>
      </c>
      <c r="E7">
        <v>5</v>
      </c>
      <c r="F7" s="8"/>
    </row>
    <row r="10" spans="1:6" x14ac:dyDescent="0.25">
      <c r="C10" t="s">
        <v>190</v>
      </c>
      <c r="D10" t="s">
        <v>204</v>
      </c>
      <c r="E10" t="s">
        <v>205</v>
      </c>
    </row>
    <row r="11" spans="1:6" x14ac:dyDescent="0.25">
      <c r="C11" s="5">
        <v>44714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B783-F349-4D8D-9FAF-8BC1D13FF235}">
  <sheetPr codeName="Sheet13"/>
  <dimension ref="A1:J1"/>
  <sheetViews>
    <sheetView zoomScale="150" zoomScaleNormal="150" workbookViewId="0">
      <selection activeCell="B13" sqref="B13"/>
    </sheetView>
  </sheetViews>
  <sheetFormatPr defaultRowHeight="15" x14ac:dyDescent="0.25"/>
  <cols>
    <col min="1" max="1" width="12.7109375" customWidth="1"/>
    <col min="2" max="2" width="20.140625" customWidth="1"/>
    <col min="4" max="4" width="21.5703125" bestFit="1" customWidth="1"/>
    <col min="10" max="10" width="10.5703125" bestFit="1" customWidth="1"/>
  </cols>
  <sheetData>
    <row r="1" spans="1:10" x14ac:dyDescent="0.25">
      <c r="A1" t="s">
        <v>301</v>
      </c>
      <c r="B1" t="s">
        <v>307</v>
      </c>
      <c r="C1" t="s">
        <v>302</v>
      </c>
      <c r="D1" t="s">
        <v>308</v>
      </c>
      <c r="E1" t="s">
        <v>303</v>
      </c>
      <c r="F1" t="s">
        <v>304</v>
      </c>
      <c r="G1" t="s">
        <v>305</v>
      </c>
      <c r="H1" t="s">
        <v>204</v>
      </c>
      <c r="J1" t="s">
        <v>306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F6658-1321-4651-B9AA-5EF92A283701}">
  <sheetPr codeName="Sheet14"/>
  <dimension ref="A1:H14"/>
  <sheetViews>
    <sheetView zoomScale="170" zoomScaleNormal="170" workbookViewId="0">
      <selection activeCell="C4" sqref="C4"/>
    </sheetView>
  </sheetViews>
  <sheetFormatPr defaultRowHeight="15" x14ac:dyDescent="0.25"/>
  <cols>
    <col min="1" max="1" width="11" bestFit="1" customWidth="1"/>
    <col min="3" max="3" width="10.42578125" bestFit="1" customWidth="1"/>
    <col min="4" max="4" width="10" bestFit="1" customWidth="1"/>
    <col min="7" max="7" width="12.85546875" customWidth="1"/>
    <col min="8" max="8" width="11.140625" customWidth="1"/>
  </cols>
  <sheetData>
    <row r="1" spans="1:8" x14ac:dyDescent="0.25">
      <c r="A1" t="s">
        <v>194</v>
      </c>
      <c r="B1" t="s">
        <v>195</v>
      </c>
      <c r="C1" t="s">
        <v>199</v>
      </c>
      <c r="D1" t="s">
        <v>196</v>
      </c>
      <c r="E1" t="s">
        <v>197</v>
      </c>
      <c r="F1" t="s">
        <v>198</v>
      </c>
      <c r="G1" t="s">
        <v>200</v>
      </c>
      <c r="H1" t="s">
        <v>203</v>
      </c>
    </row>
    <row r="2" spans="1:8" x14ac:dyDescent="0.25">
      <c r="A2">
        <v>34</v>
      </c>
    </row>
    <row r="3" spans="1:8" x14ac:dyDescent="0.25">
      <c r="A3">
        <v>54</v>
      </c>
    </row>
    <row r="4" spans="1:8" x14ac:dyDescent="0.25">
      <c r="A4">
        <v>33</v>
      </c>
    </row>
    <row r="5" spans="1:8" x14ac:dyDescent="0.25">
      <c r="A5">
        <v>55</v>
      </c>
    </row>
    <row r="6" spans="1:8" x14ac:dyDescent="0.25">
      <c r="A6" s="5">
        <f ca="1">TODAY()</f>
        <v>46071</v>
      </c>
    </row>
    <row r="7" spans="1:8" x14ac:dyDescent="0.25">
      <c r="A7" t="s">
        <v>201</v>
      </c>
    </row>
    <row r="8" spans="1:8" x14ac:dyDescent="0.25">
      <c r="A8">
        <v>23</v>
      </c>
    </row>
    <row r="9" spans="1:8" x14ac:dyDescent="0.25">
      <c r="A9" t="s">
        <v>202</v>
      </c>
    </row>
    <row r="10" spans="1:8" x14ac:dyDescent="0.25">
      <c r="A10" t="b">
        <v>1</v>
      </c>
    </row>
    <row r="11" spans="1:8" x14ac:dyDescent="0.25">
      <c r="A11">
        <v>89</v>
      </c>
    </row>
    <row r="12" spans="1:8" x14ac:dyDescent="0.25">
      <c r="A12">
        <v>23</v>
      </c>
    </row>
    <row r="13" spans="1:8" x14ac:dyDescent="0.25">
      <c r="A13" t="b">
        <v>0</v>
      </c>
    </row>
    <row r="14" spans="1:8" x14ac:dyDescent="0.25">
      <c r="A14">
        <v>52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ACF5E-B802-4707-BE70-A8315AA524C2}">
  <sheetPr codeName="Sheet15"/>
  <dimension ref="A1:F12"/>
  <sheetViews>
    <sheetView zoomScale="200" zoomScaleNormal="200" workbookViewId="0">
      <selection activeCell="F1" sqref="F1"/>
    </sheetView>
  </sheetViews>
  <sheetFormatPr defaultRowHeight="15" x14ac:dyDescent="0.25"/>
  <cols>
    <col min="1" max="1" width="17.5703125" customWidth="1"/>
    <col min="5" max="5" width="13.28515625" bestFit="1" customWidth="1"/>
    <col min="6" max="6" width="16.140625" bestFit="1" customWidth="1"/>
  </cols>
  <sheetData>
    <row r="1" spans="1:6" x14ac:dyDescent="0.25">
      <c r="A1" s="1" t="s">
        <v>194</v>
      </c>
      <c r="F1" s="1" t="s">
        <v>0</v>
      </c>
    </row>
    <row r="2" spans="1:6" x14ac:dyDescent="0.25">
      <c r="A2" t="s">
        <v>239</v>
      </c>
      <c r="F2" t="s">
        <v>1</v>
      </c>
    </row>
    <row r="3" spans="1:6" x14ac:dyDescent="0.25">
      <c r="A3" t="s">
        <v>246</v>
      </c>
      <c r="F3" t="s">
        <v>250</v>
      </c>
    </row>
    <row r="4" spans="1:6" x14ac:dyDescent="0.25">
      <c r="A4" t="s">
        <v>240</v>
      </c>
      <c r="F4" t="s">
        <v>257</v>
      </c>
    </row>
    <row r="5" spans="1:6" x14ac:dyDescent="0.25">
      <c r="A5" t="s">
        <v>241</v>
      </c>
      <c r="F5" t="s">
        <v>256</v>
      </c>
    </row>
    <row r="6" spans="1:6" x14ac:dyDescent="0.25">
      <c r="A6" t="s">
        <v>242</v>
      </c>
      <c r="F6" s="9" t="s">
        <v>259</v>
      </c>
    </row>
    <row r="7" spans="1:6" x14ac:dyDescent="0.25">
      <c r="A7" t="s">
        <v>243</v>
      </c>
      <c r="F7" t="s">
        <v>251</v>
      </c>
    </row>
    <row r="8" spans="1:6" x14ac:dyDescent="0.25">
      <c r="A8" t="s">
        <v>244</v>
      </c>
      <c r="F8" t="s">
        <v>252</v>
      </c>
    </row>
    <row r="9" spans="1:6" x14ac:dyDescent="0.25">
      <c r="A9" t="s">
        <v>245</v>
      </c>
      <c r="F9" t="s">
        <v>253</v>
      </c>
    </row>
    <row r="10" spans="1:6" x14ac:dyDescent="0.25">
      <c r="A10" t="s">
        <v>247</v>
      </c>
      <c r="F10" t="s">
        <v>254</v>
      </c>
    </row>
    <row r="11" spans="1:6" x14ac:dyDescent="0.25">
      <c r="A11" t="s">
        <v>248</v>
      </c>
      <c r="F11" t="s">
        <v>255</v>
      </c>
    </row>
    <row r="12" spans="1:6" x14ac:dyDescent="0.25">
      <c r="A12" t="s">
        <v>249</v>
      </c>
      <c r="F12" t="s">
        <v>258</v>
      </c>
    </row>
  </sheetData>
  <dataValidations count="1">
    <dataValidation type="custom" allowBlank="1" showInputMessage="1" showErrorMessage="1" sqref="F1:F11" xr:uid="{D71F1389-38CE-4CA7-8BAA-6AC68ED1F1DC}">
      <formula1>ISTEXT(F1)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E37C-21F3-433B-9E62-B4CF94F48534}">
  <sheetPr codeName="Sheet16"/>
  <dimension ref="A1:F11"/>
  <sheetViews>
    <sheetView topLeftCell="E1" zoomScale="170" zoomScaleNormal="170" workbookViewId="0">
      <selection activeCell="F14" sqref="F14"/>
    </sheetView>
  </sheetViews>
  <sheetFormatPr defaultRowHeight="15" x14ac:dyDescent="0.25"/>
  <cols>
    <col min="1" max="1" width="9.85546875" bestFit="1" customWidth="1"/>
    <col min="2" max="2" width="9.7109375" bestFit="1" customWidth="1"/>
    <col min="3" max="3" width="14.28515625" customWidth="1"/>
    <col min="4" max="4" width="20.7109375" bestFit="1" customWidth="1"/>
    <col min="5" max="5" width="22.85546875" bestFit="1" customWidth="1"/>
    <col min="6" max="6" width="26.7109375" customWidth="1"/>
  </cols>
  <sheetData>
    <row r="1" spans="1:6" x14ac:dyDescent="0.25">
      <c r="A1" s="1" t="s">
        <v>41</v>
      </c>
      <c r="B1" s="1" t="s">
        <v>42</v>
      </c>
      <c r="C1" s="1" t="s">
        <v>260</v>
      </c>
      <c r="D1" s="1" t="s">
        <v>269</v>
      </c>
      <c r="E1" s="1" t="s">
        <v>290</v>
      </c>
      <c r="F1" s="1" t="s">
        <v>291</v>
      </c>
    </row>
    <row r="2" spans="1:6" x14ac:dyDescent="0.25">
      <c r="A2" t="s">
        <v>22</v>
      </c>
      <c r="B2" t="s">
        <v>23</v>
      </c>
      <c r="C2" t="s">
        <v>1</v>
      </c>
      <c r="D2" t="s">
        <v>270</v>
      </c>
      <c r="E2" s="11" t="s">
        <v>280</v>
      </c>
      <c r="F2" s="11" t="s">
        <v>292</v>
      </c>
    </row>
    <row r="3" spans="1:6" x14ac:dyDescent="0.25">
      <c r="A3" t="s">
        <v>24</v>
      </c>
      <c r="B3" t="s">
        <v>25</v>
      </c>
      <c r="C3" t="s">
        <v>261</v>
      </c>
      <c r="D3" t="s">
        <v>271</v>
      </c>
      <c r="E3" s="11" t="s">
        <v>281</v>
      </c>
      <c r="F3" s="11" t="s">
        <v>293</v>
      </c>
    </row>
    <row r="4" spans="1:6" x14ac:dyDescent="0.25">
      <c r="A4" t="s">
        <v>26</v>
      </c>
      <c r="B4" t="s">
        <v>27</v>
      </c>
      <c r="C4" t="s">
        <v>262</v>
      </c>
      <c r="D4" t="s">
        <v>272</v>
      </c>
      <c r="E4" s="11" t="s">
        <v>282</v>
      </c>
      <c r="F4" s="11" t="s">
        <v>294</v>
      </c>
    </row>
    <row r="5" spans="1:6" x14ac:dyDescent="0.25">
      <c r="A5" t="s">
        <v>28</v>
      </c>
      <c r="B5" t="s">
        <v>29</v>
      </c>
      <c r="C5" t="s">
        <v>4</v>
      </c>
      <c r="D5" t="s">
        <v>273</v>
      </c>
      <c r="E5" s="11" t="s">
        <v>283</v>
      </c>
      <c r="F5" s="11" t="s">
        <v>295</v>
      </c>
    </row>
    <row r="6" spans="1:6" x14ac:dyDescent="0.25">
      <c r="A6" t="s">
        <v>30</v>
      </c>
      <c r="B6" t="s">
        <v>31</v>
      </c>
      <c r="C6" t="s">
        <v>263</v>
      </c>
      <c r="D6" t="s">
        <v>274</v>
      </c>
      <c r="E6" s="11" t="s">
        <v>284</v>
      </c>
      <c r="F6" s="11" t="s">
        <v>296</v>
      </c>
    </row>
    <row r="7" spans="1:6" x14ac:dyDescent="0.25">
      <c r="A7" t="s">
        <v>32</v>
      </c>
      <c r="B7" t="s">
        <v>33</v>
      </c>
      <c r="C7" t="s">
        <v>264</v>
      </c>
      <c r="D7" t="s">
        <v>275</v>
      </c>
      <c r="E7" s="11" t="s">
        <v>285</v>
      </c>
      <c r="F7" s="11" t="s">
        <v>297</v>
      </c>
    </row>
    <row r="8" spans="1:6" x14ac:dyDescent="0.25">
      <c r="A8" t="s">
        <v>34</v>
      </c>
      <c r="B8" t="s">
        <v>35</v>
      </c>
      <c r="C8" t="s">
        <v>265</v>
      </c>
      <c r="D8" t="s">
        <v>276</v>
      </c>
      <c r="E8" s="11" t="s">
        <v>286</v>
      </c>
      <c r="F8" s="11" t="s">
        <v>298</v>
      </c>
    </row>
    <row r="9" spans="1:6" x14ac:dyDescent="0.25">
      <c r="A9" t="s">
        <v>36</v>
      </c>
      <c r="B9" t="s">
        <v>37</v>
      </c>
      <c r="C9" t="s">
        <v>266</v>
      </c>
      <c r="D9" t="s">
        <v>277</v>
      </c>
      <c r="E9" s="11" t="s">
        <v>287</v>
      </c>
      <c r="F9" s="11" t="s">
        <v>299</v>
      </c>
    </row>
    <row r="10" spans="1:6" x14ac:dyDescent="0.25">
      <c r="A10" t="s">
        <v>38</v>
      </c>
      <c r="B10" t="s">
        <v>39</v>
      </c>
      <c r="C10" t="s">
        <v>267</v>
      </c>
      <c r="D10" t="s">
        <v>278</v>
      </c>
      <c r="E10" s="11" t="s">
        <v>288</v>
      </c>
      <c r="F10" s="11" t="s">
        <v>300</v>
      </c>
    </row>
    <row r="11" spans="1:6" x14ac:dyDescent="0.25">
      <c r="A11" t="s">
        <v>38</v>
      </c>
      <c r="B11" t="s">
        <v>40</v>
      </c>
      <c r="C11" t="s">
        <v>268</v>
      </c>
      <c r="D11" t="s">
        <v>279</v>
      </c>
      <c r="E11" s="11" t="s">
        <v>289</v>
      </c>
      <c r="F11" s="11" t="s">
        <v>300</v>
      </c>
    </row>
  </sheetData>
  <dataValidations count="1">
    <dataValidation type="custom" allowBlank="1" showInputMessage="1" showErrorMessage="1" sqref="A1:A11" xr:uid="{95110F7C-F8EF-4062-9505-95C07F69A516}">
      <formula1>ISTEXT(A1)</formula1>
    </dataValidation>
  </dataValidations>
  <hyperlinks>
    <hyperlink ref="E2" r:id="rId1" xr:uid="{AB7B3358-8804-43C5-8F4C-91339ED16FA4}"/>
    <hyperlink ref="E3" r:id="rId2" xr:uid="{B673241B-BDA2-43AA-9633-CB4A7961DAD6}"/>
    <hyperlink ref="E4" r:id="rId3" xr:uid="{47A22192-2887-47B3-9CD6-532F5AD31E1C}"/>
    <hyperlink ref="E5" r:id="rId4" xr:uid="{2158086A-4774-40AD-BD72-26110B061CAF}"/>
    <hyperlink ref="E6" r:id="rId5" xr:uid="{E0885278-98ED-4090-878F-890FF5C487EB}"/>
    <hyperlink ref="E7" r:id="rId6" xr:uid="{2780642A-B1DF-4088-B7C0-D6E485CC36F9}"/>
    <hyperlink ref="E8" r:id="rId7" xr:uid="{577A9654-2D42-481C-A2D0-3B71A37A2C38}"/>
    <hyperlink ref="E9" r:id="rId8" xr:uid="{D0B43069-2447-45D2-A8FE-E902E1228324}"/>
    <hyperlink ref="E10" r:id="rId9" xr:uid="{0150186F-CDB0-4C64-9B62-3A0F541F1369}"/>
    <hyperlink ref="E11" r:id="rId10" xr:uid="{A89A94E0-8138-4DA8-8D5F-F7626C64E9BF}"/>
    <hyperlink ref="F2" r:id="rId11" xr:uid="{F2F06208-23F6-488A-B566-CC950E52E646}"/>
    <hyperlink ref="F3" r:id="rId12" xr:uid="{1FFE1824-1497-41A0-8806-1FA5484E2D56}"/>
    <hyperlink ref="F4" r:id="rId13" xr:uid="{08AD23E5-C370-442F-9276-F87FCED553E3}"/>
    <hyperlink ref="F5" r:id="rId14" xr:uid="{90EA53CE-D47B-49B7-9FF1-B63B4DB80ADF}"/>
    <hyperlink ref="F6" r:id="rId15" xr:uid="{81805D78-42B0-4E56-B29E-CE2911D7F5B1}"/>
    <hyperlink ref="F7" r:id="rId16" xr:uid="{104383B5-553A-4E72-BE73-4EF2585AD9D7}"/>
    <hyperlink ref="F8" r:id="rId17" xr:uid="{89CFFB98-6C22-4E78-B7DF-7CFA785548B6}"/>
    <hyperlink ref="F9" r:id="rId18" xr:uid="{D82F0E62-3856-4682-9BF0-79F15AF932B2}"/>
    <hyperlink ref="F10" r:id="rId19" xr:uid="{A8EA2C43-775D-41D1-90D4-23885A03E612}"/>
    <hyperlink ref="F11" r:id="rId20" xr:uid="{D852DB4D-2556-467B-9279-699243D031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Introduction</vt:lpstr>
      <vt:lpstr>Day-1</vt:lpstr>
      <vt:lpstr>Transpose</vt:lpstr>
      <vt:lpstr>Paste Link</vt:lpstr>
      <vt:lpstr>Skip Blank</vt:lpstr>
      <vt:lpstr>Paste Special Operations</vt:lpstr>
      <vt:lpstr>Math &amp; Trigo</vt:lpstr>
      <vt:lpstr>IFS Functions</vt:lpstr>
      <vt:lpstr>Referencing</vt:lpstr>
      <vt:lpstr>Mixed Referencing</vt:lpstr>
      <vt:lpstr>Naming Range</vt:lpstr>
      <vt:lpstr>Date &amp; Time</vt:lpstr>
      <vt:lpstr>Fill Series</vt:lpstr>
      <vt:lpstr>Information</vt:lpstr>
      <vt:lpstr>Text To Dolumn</vt:lpstr>
      <vt:lpstr>Flash 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Dharmendra Dubey</dc:creator>
  <cp:lastModifiedBy>akhilesh nishad</cp:lastModifiedBy>
  <dcterms:created xsi:type="dcterms:W3CDTF">2022-05-04T15:22:08Z</dcterms:created>
  <dcterms:modified xsi:type="dcterms:W3CDTF">2026-02-18T15:40:05Z</dcterms:modified>
</cp:coreProperties>
</file>