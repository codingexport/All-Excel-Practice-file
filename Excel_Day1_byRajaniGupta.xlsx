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OneDrive\Desktop\ExcelerAllTopic\Excel\Excel All file\"/>
    </mc:Choice>
  </mc:AlternateContent>
  <xr:revisionPtr revIDLastSave="0" documentId="13_ncr:1_{5E87CD26-559F-4FCF-8653-39EF7FAFA7BE}" xr6:coauthVersionLast="47" xr6:coauthVersionMax="47" xr10:uidLastSave="{00000000-0000-0000-0000-000000000000}"/>
  <bookViews>
    <workbookView xWindow="-108" yWindow="-108" windowWidth="23256" windowHeight="13176" firstSheet="1" activeTab="6" xr2:uid="{353D674D-7EEC-4BF5-976B-CAFCF2E0952C}"/>
  </bookViews>
  <sheets>
    <sheet name="Interface Of Excel" sheetId="1" r:id="rId1"/>
    <sheet name="Row_column_cell" sheetId="2" r:id="rId2"/>
    <sheet name="Data Types" sheetId="3" r:id="rId3"/>
    <sheet name="Data Entry(Fill Series)" sheetId="8" r:id="rId4"/>
    <sheet name="Table" sheetId="9" r:id="rId5"/>
    <sheet name="Font Alignment Clipboard" sheetId="4" r:id="rId6"/>
    <sheet name="Find Select" sheetId="7" r:id="rId7"/>
    <sheet name="Paste Special" sheetId="5" r:id="rId8"/>
    <sheet name="Ctrl Enter" sheetId="6" r:id="rId9"/>
    <sheet name="Cell Referencing" sheetId="10" r:id="rId10"/>
    <sheet name="Relative CR" sheetId="13" r:id="rId11"/>
    <sheet name="Absolute CR " sheetId="18" r:id="rId12"/>
    <sheet name="Mixed Cell Referencing" sheetId="20" r:id="rId13"/>
  </sheets>
  <definedNames>
    <definedName name="_xlnm._FilterDatabase" localSheetId="4" hidden="1">Table!$A$2:$H$12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9" l="1"/>
  <c r="J25" i="9"/>
  <c r="J24" i="9"/>
  <c r="J23" i="9"/>
  <c r="J22" i="9"/>
  <c r="J21" i="9"/>
  <c r="J20" i="9"/>
  <c r="J19" i="9"/>
  <c r="J18" i="9"/>
  <c r="J17" i="9"/>
  <c r="D4" i="20"/>
  <c r="E4" i="20"/>
  <c r="F4" i="20"/>
  <c r="G4" i="20"/>
  <c r="D5" i="20"/>
  <c r="E5" i="20"/>
  <c r="F5" i="20"/>
  <c r="G5" i="20"/>
  <c r="D6" i="20"/>
  <c r="E6" i="20"/>
  <c r="F6" i="20"/>
  <c r="G6" i="20"/>
  <c r="D7" i="20"/>
  <c r="E7" i="20"/>
  <c r="F7" i="20"/>
  <c r="G7" i="20"/>
  <c r="D8" i="20"/>
  <c r="E8" i="20"/>
  <c r="F8" i="20"/>
  <c r="G8" i="20"/>
  <c r="C4" i="20"/>
  <c r="C5" i="20"/>
  <c r="C6" i="20"/>
  <c r="C7" i="20"/>
  <c r="C8" i="20"/>
  <c r="C5" i="18"/>
  <c r="C6" i="18"/>
  <c r="C7" i="18"/>
  <c r="C8" i="18"/>
  <c r="D3" i="13"/>
  <c r="D4" i="13"/>
  <c r="D2" i="13"/>
  <c r="J3" i="7"/>
  <c r="J4" i="7"/>
  <c r="J5" i="7"/>
  <c r="J6" i="7"/>
  <c r="J7" i="7"/>
  <c r="J8" i="7"/>
  <c r="J9" i="7"/>
  <c r="J10" i="7"/>
  <c r="J11" i="7"/>
  <c r="J2" i="4"/>
  <c r="J4" i="9"/>
  <c r="J5" i="9"/>
  <c r="J6" i="9"/>
  <c r="J7" i="9"/>
  <c r="J8" i="9"/>
  <c r="J9" i="9"/>
  <c r="J10" i="9"/>
  <c r="J11" i="9"/>
  <c r="J12" i="9"/>
  <c r="J3" i="9"/>
  <c r="K11" i="3"/>
  <c r="J11" i="4"/>
  <c r="J10" i="4"/>
  <c r="J9" i="4"/>
  <c r="J8" i="4"/>
  <c r="J7" i="4"/>
  <c r="J6" i="4"/>
  <c r="J5" i="4"/>
  <c r="J4" i="4"/>
  <c r="J3" i="4"/>
  <c r="J2" i="7"/>
  <c r="J11" i="5"/>
  <c r="J10" i="5"/>
  <c r="J9" i="5"/>
  <c r="J8" i="5"/>
  <c r="J7" i="5"/>
  <c r="J6" i="5"/>
  <c r="J5" i="5"/>
  <c r="J4" i="5"/>
  <c r="J3" i="5"/>
  <c r="J2" i="5"/>
  <c r="H5" i="20"/>
  <c r="H8" i="20"/>
  <c r="H6" i="20"/>
  <c r="H7" i="20"/>
  <c r="H4" i="20"/>
  <c r="D6" i="18"/>
  <c r="D7" i="18"/>
  <c r="D8" i="18"/>
  <c r="D5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ExcelR Mumbai</author>
  </authors>
  <commentList>
    <comment ref="B4" authorId="0" shapeId="0" xr:uid="{710C99FF-22DF-4781-AD9F-66135F601443}">
      <text>
        <r>
          <rPr>
            <b/>
            <sz val="9"/>
            <color indexed="81"/>
            <rFont val="Tahoma"/>
            <family val="2"/>
          </rPr>
          <t>ExcelR Mumbai:</t>
        </r>
        <r>
          <rPr>
            <sz val="9"/>
            <color indexed="81"/>
            <rFont val="Tahoma"/>
            <family val="2"/>
          </rPr>
          <t xml:space="preserve">
CEO</t>
        </r>
      </text>
    </comment>
    <comment ref="B12" authorId="0" shapeId="0" xr:uid="{6858A9F2-C3C6-4B45-8368-96A299934630}">
      <text>
        <r>
          <rPr>
            <b/>
            <sz val="9"/>
            <color indexed="81"/>
            <rFont val="Tahoma"/>
            <family val="2"/>
          </rPr>
          <t>ExcelR Mumbai:</t>
        </r>
        <r>
          <rPr>
            <sz val="9"/>
            <color indexed="81"/>
            <rFont val="Tahoma"/>
            <family val="2"/>
          </rPr>
          <t xml:space="preserve">
Head of Development
</t>
        </r>
      </text>
    </comment>
    <comment ref="B18" authorId="0" shapeId="0" xr:uid="{DCD9B5AC-0ADA-4D66-955C-F879268A606F}">
      <text>
        <r>
          <rPr>
            <b/>
            <sz val="9"/>
            <color indexed="81"/>
            <rFont val="Tahoma"/>
            <family val="2"/>
          </rPr>
          <t>ExcelR Mumbai:</t>
        </r>
        <r>
          <rPr>
            <sz val="9"/>
            <color indexed="81"/>
            <rFont val="Tahoma"/>
            <family val="2"/>
          </rPr>
          <t xml:space="preserve">
CEO</t>
        </r>
      </text>
    </comment>
    <comment ref="B26" authorId="0" shapeId="0" xr:uid="{2720BE43-0241-4171-9ECB-93113269E401}">
      <text>
        <r>
          <rPr>
            <b/>
            <sz val="9"/>
            <color indexed="81"/>
            <rFont val="Tahoma"/>
            <family val="2"/>
          </rPr>
          <t>ExcelR Mumbai:</t>
        </r>
        <r>
          <rPr>
            <sz val="9"/>
            <color indexed="81"/>
            <rFont val="Tahoma"/>
            <family val="2"/>
          </rPr>
          <t xml:space="preserve">
Head of Development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ExcelR Mumbai</author>
  </authors>
  <commentList>
    <comment ref="B3" authorId="0" shapeId="0" xr:uid="{4907909B-FFCE-4B87-9F55-FB1F920BDD80}">
      <text>
        <r>
          <rPr>
            <b/>
            <sz val="9"/>
            <color indexed="81"/>
            <rFont val="Tahoma"/>
            <family val="2"/>
          </rPr>
          <t>ExcelR Mumbai:</t>
        </r>
        <r>
          <rPr>
            <sz val="9"/>
            <color indexed="81"/>
            <rFont val="Tahoma"/>
            <family val="2"/>
          </rPr>
          <t xml:space="preserve">
CEO</t>
        </r>
      </text>
    </comment>
    <comment ref="B11" authorId="0" shapeId="0" xr:uid="{B49107BF-513F-4A57-8D2A-8ED62F0284B1}">
      <text>
        <r>
          <rPr>
            <b/>
            <sz val="9"/>
            <color indexed="81"/>
            <rFont val="Tahoma"/>
            <family val="2"/>
          </rPr>
          <t>ExcelR Mumbai:</t>
        </r>
        <r>
          <rPr>
            <sz val="9"/>
            <color indexed="81"/>
            <rFont val="Tahoma"/>
            <family val="2"/>
          </rPr>
          <t xml:space="preserve">
Head of Development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ExcelR Mumbai</author>
  </authors>
  <commentList>
    <comment ref="B3" authorId="0" shapeId="0" xr:uid="{29376A75-0084-4418-A256-0167CE8CC936}">
      <text>
        <r>
          <rPr>
            <b/>
            <sz val="9"/>
            <color indexed="81"/>
            <rFont val="Tahoma"/>
            <family val="2"/>
          </rPr>
          <t>ExcelR Mumbai:</t>
        </r>
        <r>
          <rPr>
            <sz val="9"/>
            <color indexed="81"/>
            <rFont val="Tahoma"/>
            <family val="2"/>
          </rPr>
          <t xml:space="preserve">
CEO</t>
        </r>
      </text>
    </comment>
    <comment ref="B11" authorId="0" shapeId="0" xr:uid="{F0E7F529-852A-445C-820E-48C27C079449}">
      <text>
        <r>
          <rPr>
            <b/>
            <sz val="9"/>
            <color indexed="81"/>
            <rFont val="Tahoma"/>
            <family val="2"/>
          </rPr>
          <t>ExcelR Mumbai:</t>
        </r>
        <r>
          <rPr>
            <sz val="9"/>
            <color indexed="81"/>
            <rFont val="Tahoma"/>
            <family val="2"/>
          </rPr>
          <t xml:space="preserve">
Head of Development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ExcelR Mumbai</author>
  </authors>
  <commentList>
    <comment ref="B3" authorId="0" shapeId="0" xr:uid="{9A5C6D18-FABB-4596-95A5-57DD56B6CC35}">
      <text>
        <r>
          <rPr>
            <b/>
            <sz val="9"/>
            <color indexed="81"/>
            <rFont val="Tahoma"/>
            <family val="2"/>
          </rPr>
          <t>ExcelR Mumbai:</t>
        </r>
        <r>
          <rPr>
            <sz val="9"/>
            <color indexed="81"/>
            <rFont val="Tahoma"/>
            <family val="2"/>
          </rPr>
          <t xml:space="preserve">
CEO</t>
        </r>
      </text>
    </comment>
    <comment ref="B11" authorId="0" shapeId="0" xr:uid="{006F16F1-B1B6-4D04-9EFA-959D7CE7F395}">
      <text>
        <r>
          <rPr>
            <b/>
            <sz val="9"/>
            <color indexed="81"/>
            <rFont val="Tahoma"/>
            <family val="2"/>
          </rPr>
          <t>ExcelR Mumbai:</t>
        </r>
        <r>
          <rPr>
            <sz val="9"/>
            <color indexed="81"/>
            <rFont val="Tahoma"/>
            <family val="2"/>
          </rPr>
          <t xml:space="preserve">
Head of Development
</t>
        </r>
      </text>
    </comment>
  </commentList>
</comments>
</file>

<file path=xl/sharedStrings.xml><?xml version="1.0" encoding="utf-8"?>
<sst xmlns="http://schemas.openxmlformats.org/spreadsheetml/2006/main" count="376" uniqueCount="114">
  <si>
    <t>Emp ID</t>
  </si>
  <si>
    <t>Salary</t>
  </si>
  <si>
    <t>Incentive</t>
  </si>
  <si>
    <t>Total Salary</t>
  </si>
  <si>
    <t>John</t>
  </si>
  <si>
    <t>First Name</t>
  </si>
  <si>
    <t>Last Name</t>
  </si>
  <si>
    <t>Department</t>
  </si>
  <si>
    <t>Region</t>
  </si>
  <si>
    <t>Branches</t>
  </si>
  <si>
    <t>Date Hired</t>
  </si>
  <si>
    <t>Smith</t>
  </si>
  <si>
    <t>Marketing</t>
  </si>
  <si>
    <t>West</t>
  </si>
  <si>
    <t>California</t>
  </si>
  <si>
    <t>Emily</t>
  </si>
  <si>
    <t>Williams</t>
  </si>
  <si>
    <t>Finance</t>
  </si>
  <si>
    <t>East</t>
  </si>
  <si>
    <t>New York</t>
  </si>
  <si>
    <t>Michael</t>
  </si>
  <si>
    <t>Brown</t>
  </si>
  <si>
    <t>IT</t>
  </si>
  <si>
    <t>Midwest</t>
  </si>
  <si>
    <t>Illinois</t>
  </si>
  <si>
    <t>Sarah</t>
  </si>
  <si>
    <t>Garcia</t>
  </si>
  <si>
    <t>Sales</t>
  </si>
  <si>
    <t>South</t>
  </si>
  <si>
    <t>Florida</t>
  </si>
  <si>
    <t>David</t>
  </si>
  <si>
    <t>Lee</t>
  </si>
  <si>
    <t>Engineering</t>
  </si>
  <si>
    <t>Ashley</t>
  </si>
  <si>
    <t>Hernandez</t>
  </si>
  <si>
    <t>HR</t>
  </si>
  <si>
    <t>Robert</t>
  </si>
  <si>
    <t>Johnson</t>
  </si>
  <si>
    <t>Operations</t>
  </si>
  <si>
    <t>Jane</t>
  </si>
  <si>
    <t>Doe</t>
  </si>
  <si>
    <t>Accounting</t>
  </si>
  <si>
    <t>Daniel</t>
  </si>
  <si>
    <t>Chen</t>
  </si>
  <si>
    <t>Development</t>
  </si>
  <si>
    <t>Alt + H + FI + S</t>
  </si>
  <si>
    <t>Shortcut</t>
  </si>
  <si>
    <t xml:space="preserve"> </t>
  </si>
  <si>
    <t>Bills</t>
  </si>
  <si>
    <t>Rent</t>
  </si>
  <si>
    <t>Phone</t>
  </si>
  <si>
    <t>Credit Card</t>
  </si>
  <si>
    <t>January</t>
  </si>
  <si>
    <t>February</t>
  </si>
  <si>
    <t>Emp name</t>
  </si>
  <si>
    <t>Extra Working Hour</t>
  </si>
  <si>
    <t>Extra Wages</t>
  </si>
  <si>
    <t>Use formulatext to show the formula used</t>
  </si>
  <si>
    <t>A</t>
  </si>
  <si>
    <t>B</t>
  </si>
  <si>
    <t>C</t>
  </si>
  <si>
    <t>D</t>
  </si>
  <si>
    <t>Hourly comission</t>
  </si>
  <si>
    <t>Multiplication Table</t>
  </si>
  <si>
    <t>Column Headers</t>
  </si>
  <si>
    <t>Row Header</t>
  </si>
  <si>
    <t>column</t>
  </si>
  <si>
    <t>Row</t>
  </si>
  <si>
    <t>Cell</t>
  </si>
  <si>
    <t>Surbhi</t>
  </si>
  <si>
    <t>Sahoo</t>
  </si>
  <si>
    <t>skafds.nmakfdsfksaflasdfla;sd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</si>
  <si>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</si>
  <si>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</si>
  <si>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</si>
  <si>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</si>
  <si>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</si>
  <si>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</si>
  <si>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</si>
  <si>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</si>
  <si>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</si>
  <si>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</si>
  <si>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</si>
  <si>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</si>
  <si>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</si>
  <si>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</si>
  <si>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</si>
  <si>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</si>
  <si>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</si>
  <si>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</si>
  <si>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</si>
  <si>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</si>
  <si>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</si>
  <si>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</si>
  <si>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</si>
  <si>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</si>
  <si>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</si>
  <si>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</si>
  <si>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</si>
  <si>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</si>
  <si>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</si>
  <si>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</si>
  <si>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</si>
  <si>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</si>
  <si>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</si>
  <si>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</si>
  <si>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</si>
  <si>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Mumbai</t>
  </si>
  <si>
    <t>Pune</t>
  </si>
  <si>
    <t>Bangalore</t>
  </si>
  <si>
    <t>Employe Table</t>
  </si>
  <si>
    <t>Total</t>
  </si>
  <si>
    <t>Formula</t>
  </si>
  <si>
    <t>Illinoise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</si>
</sst>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4"/>
      <color theme="1"/>
      <name val="Calibri"/>
      <family val="2"/>
      <scheme val="minor"/>
    </font>
    <font>
      <b/>
      <i/>
      <sz val="20"/>
      <color theme="0"/>
      <name val="Arial Black"/>
      <family val="2"/>
    </font>
    <font>
      <b/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 val="double"/>
      <sz val="14"/>
      <color rgb="FFFF0000"/>
      <name val="Bahnschrift SemiBold Condensed"/>
      <family val="2"/>
    </font>
    <font>
      <b/>
      <sz val="14"/>
      <color theme="1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2" fillId="3" borderId="1" xfId="0" applyFont="1" applyFill="1" applyBorder="1"/>
    <xf numFmtId="17" fontId="2" fillId="3" borderId="1" xfId="0" applyNumberFormat="1" applyFont="1" applyFill="1" applyBorder="1"/>
    <xf numFmtId="0" fontId="0" fillId="0" borderId="1" xfId="0" applyBorder="1"/>
    <xf numFmtId="0" fontId="7" fillId="0" borderId="0" xfId="0" applyFont="1"/>
    <xf numFmtId="0" fontId="7" fillId="2" borderId="0" xfId="0" applyFont="1" applyFill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right"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top"/>
    </xf>
    <xf numFmtId="0" fontId="0" fillId="3" borderId="0" xfId="0" applyFill="1"/>
    <xf numFmtId="0" fontId="0" fillId="5" borderId="0" xfId="0" applyFill="1"/>
    <xf numFmtId="0" fontId="10" fillId="0" borderId="0" xfId="0" applyFont="1"/>
    <xf numFmtId="14" fontId="10" fillId="0" borderId="0" xfId="0" applyNumberFormat="1" applyFont="1"/>
    <xf numFmtId="0" fontId="0" fillId="0" borderId="0" xfId="0" applyAlignment="1">
      <alignment wrapText="1"/>
    </xf>
    <xf numFmtId="14" fontId="0" fillId="0" borderId="0" xfId="0" applyNumberFormat="1"/>
    <xf numFmtId="0" fontId="0" fillId="2" borderId="0" xfId="0" applyFill="1"/>
    <xf numFmtId="0" fontId="1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1" applyNumberFormat="1" applyFont="1" applyBorder="1" applyAlignment="1">
      <alignment horizontal="center" wrapText="1"/>
    </xf>
    <xf numFmtId="0" fontId="0" fillId="0" borderId="1" xfId="1" applyNumberFormat="1" applyFont="1" applyBorder="1"/>
    <xf numFmtId="164" fontId="0" fillId="0" borderId="1" xfId="1" applyNumberFormat="1" applyFont="1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164" fontId="0" fillId="0" borderId="1" xfId="1" applyNumberFormat="1" applyFont="1" applyBorder="1"/>
    <xf numFmtId="44" fontId="0" fillId="0" borderId="1" xfId="2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1" applyNumberFormat="1" applyFont="1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4" fontId="0" fillId="0" borderId="9" xfId="0" applyNumberFormat="1" applyBorder="1" applyAlignment="1">
      <alignment horizontal="center" wrapText="1"/>
    </xf>
    <xf numFmtId="0" fontId="0" fillId="0" borderId="9" xfId="1" applyNumberFormat="1" applyFont="1" applyBorder="1" applyAlignment="1">
      <alignment horizontal="center" wrapText="1"/>
    </xf>
    <xf numFmtId="0" fontId="0" fillId="0" borderId="10" xfId="1" applyNumberFormat="1" applyFont="1" applyBorder="1"/>
    <xf numFmtId="0" fontId="0" fillId="0" borderId="1" xfId="0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10" xfId="0" applyBorder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5_1">
  <dgm:title val=""/>
  <dgm:desc val=""/>
  <dgm:catLst>
    <dgm:cat type="accent5" pri="11100"/>
  </dgm:catLst>
  <dgm:styleLbl name="node0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5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5">
        <a:tint val="4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5">
        <a:tint val="4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5">
        <a:tint val="4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5">
        <a:tint val="60000"/>
      </a:schemeClr>
    </dgm:fillClrLst>
    <dgm:linClrLst meth="repeat">
      <a:schemeClr val="accent5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5">
        <a:tint val="60000"/>
      </a:schemeClr>
    </dgm:fillClrLst>
    <dgm:linClrLst meth="repeat">
      <a:schemeClr val="accent5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5">
        <a:tint val="60000"/>
      </a:schemeClr>
    </dgm:fillClrLst>
    <dgm:linClrLst meth="repeat">
      <a:schemeClr val="accent5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5">
        <a:tint val="60000"/>
      </a:schemeClr>
    </dgm:fillClrLst>
    <dgm:linClrLst meth="repeat">
      <a:schemeClr val="accent5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5"/>
    </dgm:fillClrLst>
    <dgm:linClrLst meth="repeat">
      <a:schemeClr val="accent5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accent5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5"/>
    </dgm:fillClrLst>
    <dgm:linClrLst meth="repeat">
      <a:schemeClr val="accent5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5"/>
    </dgm:fillClrLst>
    <dgm:linClrLst meth="repeat">
      <a:schemeClr val="accent5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/>
    </dgm:fillClrLst>
    <dgm:linClrLst meth="repeat">
      <a:schemeClr val="accent5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5">
        <a:alpha val="90000"/>
        <a:tint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5">
        <a:alpha val="90000"/>
        <a:tint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5">
        <a:alpha val="90000"/>
        <a:tint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5">
        <a:alpha val="40000"/>
        <a:tint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5">
        <a:alpha val="90000"/>
        <a:tint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5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5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5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5">
        <a:alpha val="90000"/>
        <a:tint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5">
        <a:alpha val="90000"/>
        <a:tint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5">
        <a:alpha val="90000"/>
        <a:tint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5">
        <a:alpha val="90000"/>
        <a:tint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8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3C21D97-A6CE-4932-B661-B80AB7488D40}" type="doc">
      <dgm:prSet loTypeId="urn:microsoft.com/office/officeart/2005/8/layout/orgChart1" loCatId="hierarchy" qsTypeId="urn:microsoft.com/office/officeart/2005/8/quickstyle/simple1" qsCatId="simple" csTypeId="urn:microsoft.com/office/officeart/2005/8/colors/accent5_1" csCatId="accent5" phldr="1"/>
      <dgm:spPr/>
      <dgm:t>
        <a:bodyPr/>
        <a:lstStyle/>
        <a:p>
          <a:endParaRPr lang="en-IN"/>
        </a:p>
      </dgm:t>
    </dgm:pt>
    <dgm:pt modelId="{8E869C8F-69DB-4731-BAE0-15C458E532D2}">
      <dgm:prSet phldrT="[Text]"/>
      <dgm:spPr/>
      <dgm:t>
        <a:bodyPr/>
        <a:lstStyle/>
        <a:p>
          <a:r>
            <a:rPr lang="en-IN"/>
            <a:t>Cell References</a:t>
          </a:r>
        </a:p>
      </dgm:t>
    </dgm:pt>
    <dgm:pt modelId="{6CFBA0C7-5257-48C1-B07E-9C180504EA81}" type="parTrans" cxnId="{7548868F-C04D-42C4-AF00-B266F9349CFE}">
      <dgm:prSet/>
      <dgm:spPr/>
      <dgm:t>
        <a:bodyPr/>
        <a:lstStyle/>
        <a:p>
          <a:endParaRPr lang="en-IN"/>
        </a:p>
      </dgm:t>
    </dgm:pt>
    <dgm:pt modelId="{47B81D88-9964-4033-AA55-88301990BE0F}" type="sibTrans" cxnId="{7548868F-C04D-42C4-AF00-B266F9349CFE}">
      <dgm:prSet/>
      <dgm:spPr/>
      <dgm:t>
        <a:bodyPr/>
        <a:lstStyle/>
        <a:p>
          <a:endParaRPr lang="en-IN"/>
        </a:p>
      </dgm:t>
    </dgm:pt>
    <dgm:pt modelId="{C9FEF5B0-EC21-43B2-B600-6C41CB3EE539}">
      <dgm:prSet phldrT="[Text]"/>
      <dgm:spPr/>
      <dgm:t>
        <a:bodyPr/>
        <a:lstStyle/>
        <a:p>
          <a:r>
            <a:rPr lang="en-IN"/>
            <a:t>Relative Cell References</a:t>
          </a:r>
        </a:p>
      </dgm:t>
    </dgm:pt>
    <dgm:pt modelId="{ADBE9D40-3E01-479C-89A9-0B8A3109A00E}" type="parTrans" cxnId="{E5912109-726D-4DCD-9C0A-DEEB10312E69}">
      <dgm:prSet/>
      <dgm:spPr/>
      <dgm:t>
        <a:bodyPr/>
        <a:lstStyle/>
        <a:p>
          <a:endParaRPr lang="en-IN"/>
        </a:p>
      </dgm:t>
    </dgm:pt>
    <dgm:pt modelId="{85A5B996-3EFE-46A2-8398-BA527C1B2B47}" type="sibTrans" cxnId="{E5912109-726D-4DCD-9C0A-DEEB10312E69}">
      <dgm:prSet/>
      <dgm:spPr/>
      <dgm:t>
        <a:bodyPr/>
        <a:lstStyle/>
        <a:p>
          <a:endParaRPr lang="en-IN"/>
        </a:p>
      </dgm:t>
    </dgm:pt>
    <dgm:pt modelId="{9ED131DD-B319-4B59-B012-6C8315E2102B}">
      <dgm:prSet phldrT="[Text]"/>
      <dgm:spPr/>
      <dgm:t>
        <a:bodyPr/>
        <a:lstStyle/>
        <a:p>
          <a:r>
            <a:rPr lang="en-IN"/>
            <a:t>Absolute/Fixed Cell  References</a:t>
          </a:r>
        </a:p>
      </dgm:t>
    </dgm:pt>
    <dgm:pt modelId="{5E6E8247-876F-466E-AAEF-258D07130E7B}" type="parTrans" cxnId="{54A4C06A-ECDE-4DC1-ABDB-8B8043E6BEBD}">
      <dgm:prSet/>
      <dgm:spPr/>
      <dgm:t>
        <a:bodyPr/>
        <a:lstStyle/>
        <a:p>
          <a:endParaRPr lang="en-IN"/>
        </a:p>
      </dgm:t>
    </dgm:pt>
    <dgm:pt modelId="{92DFBF01-3B4F-4D62-85DD-B5EB762BA78F}" type="sibTrans" cxnId="{54A4C06A-ECDE-4DC1-ABDB-8B8043E6BEBD}">
      <dgm:prSet/>
      <dgm:spPr/>
      <dgm:t>
        <a:bodyPr/>
        <a:lstStyle/>
        <a:p>
          <a:endParaRPr lang="en-IN"/>
        </a:p>
      </dgm:t>
    </dgm:pt>
    <dgm:pt modelId="{2E4AD944-DE09-4910-A010-A047217E8387}">
      <dgm:prSet phldrT="[Text]"/>
      <dgm:spPr/>
      <dgm:t>
        <a:bodyPr/>
        <a:lstStyle/>
        <a:p>
          <a:r>
            <a:rPr lang="en-IN"/>
            <a:t>Mixed Cell References</a:t>
          </a:r>
        </a:p>
      </dgm:t>
    </dgm:pt>
    <dgm:pt modelId="{F70F0DFF-03C8-4ED8-8E00-A43DC1960816}" type="parTrans" cxnId="{CCCA63B6-385A-492D-9CC6-D4490BFA6B24}">
      <dgm:prSet/>
      <dgm:spPr/>
      <dgm:t>
        <a:bodyPr/>
        <a:lstStyle/>
        <a:p>
          <a:endParaRPr lang="en-IN"/>
        </a:p>
      </dgm:t>
    </dgm:pt>
    <dgm:pt modelId="{5F3921BC-684A-44CD-BD0B-AC77B45F61CA}" type="sibTrans" cxnId="{CCCA63B6-385A-492D-9CC6-D4490BFA6B24}">
      <dgm:prSet/>
      <dgm:spPr/>
      <dgm:t>
        <a:bodyPr/>
        <a:lstStyle/>
        <a:p>
          <a:endParaRPr lang="en-IN"/>
        </a:p>
      </dgm:t>
    </dgm:pt>
    <dgm:pt modelId="{5623CE54-F54E-40A4-B3CE-ED219A257C36}">
      <dgm:prSet/>
      <dgm:spPr/>
      <dgm:t>
        <a:bodyPr/>
        <a:lstStyle/>
        <a:p>
          <a:r>
            <a:rPr lang="en-IN"/>
            <a:t>B4</a:t>
          </a:r>
        </a:p>
      </dgm:t>
    </dgm:pt>
    <dgm:pt modelId="{F0189047-C065-4DEC-BD62-3BB5E6DE46B9}" type="parTrans" cxnId="{7D66D019-9810-4A81-B4DF-6A45DC62542E}">
      <dgm:prSet/>
      <dgm:spPr/>
      <dgm:t>
        <a:bodyPr/>
        <a:lstStyle/>
        <a:p>
          <a:endParaRPr lang="en-IN"/>
        </a:p>
      </dgm:t>
    </dgm:pt>
    <dgm:pt modelId="{26FD963A-02FA-4302-87EB-02527C70D8A2}" type="sibTrans" cxnId="{7D66D019-9810-4A81-B4DF-6A45DC62542E}">
      <dgm:prSet/>
      <dgm:spPr/>
      <dgm:t>
        <a:bodyPr/>
        <a:lstStyle/>
        <a:p>
          <a:endParaRPr lang="en-IN"/>
        </a:p>
      </dgm:t>
    </dgm:pt>
    <dgm:pt modelId="{2FD599E4-98A5-4E39-B263-E51597B9FCEA}">
      <dgm:prSet/>
      <dgm:spPr/>
      <dgm:t>
        <a:bodyPr/>
        <a:lstStyle/>
        <a:p>
          <a:r>
            <a:rPr lang="en-IN"/>
            <a:t>$B$4</a:t>
          </a:r>
        </a:p>
      </dgm:t>
    </dgm:pt>
    <dgm:pt modelId="{4C5102B4-CC99-4504-BBB8-75457FADB128}" type="parTrans" cxnId="{43ABFE5B-1C1E-44E5-9331-F7D620620187}">
      <dgm:prSet/>
      <dgm:spPr/>
      <dgm:t>
        <a:bodyPr/>
        <a:lstStyle/>
        <a:p>
          <a:endParaRPr lang="en-IN"/>
        </a:p>
      </dgm:t>
    </dgm:pt>
    <dgm:pt modelId="{4021EBFE-C17D-4462-B331-E5A674896D8D}" type="sibTrans" cxnId="{43ABFE5B-1C1E-44E5-9331-F7D620620187}">
      <dgm:prSet/>
      <dgm:spPr/>
      <dgm:t>
        <a:bodyPr/>
        <a:lstStyle/>
        <a:p>
          <a:endParaRPr lang="en-IN"/>
        </a:p>
      </dgm:t>
    </dgm:pt>
    <dgm:pt modelId="{EBC4C095-20C4-45CC-8497-EE71C94967A6}">
      <dgm:prSet/>
      <dgm:spPr/>
      <dgm:t>
        <a:bodyPr/>
        <a:lstStyle/>
        <a:p>
          <a:r>
            <a:rPr lang="en-IN"/>
            <a:t>$B4 OR B$4</a:t>
          </a:r>
        </a:p>
      </dgm:t>
    </dgm:pt>
    <dgm:pt modelId="{2EA529D6-F9E9-4F5B-B847-F1B58EA55679}" type="parTrans" cxnId="{8CB0373B-B472-499E-BE4B-B4B17D5619F6}">
      <dgm:prSet/>
      <dgm:spPr/>
      <dgm:t>
        <a:bodyPr/>
        <a:lstStyle/>
        <a:p>
          <a:endParaRPr lang="en-IN"/>
        </a:p>
      </dgm:t>
    </dgm:pt>
    <dgm:pt modelId="{A63565CA-1876-46B3-9A20-2460ABBA036B}" type="sibTrans" cxnId="{8CB0373B-B472-499E-BE4B-B4B17D5619F6}">
      <dgm:prSet/>
      <dgm:spPr/>
      <dgm:t>
        <a:bodyPr/>
        <a:lstStyle/>
        <a:p>
          <a:endParaRPr lang="en-IN"/>
        </a:p>
      </dgm:t>
    </dgm:pt>
    <dgm:pt modelId="{94287FF9-629F-41A3-959B-076985A2E7E9}" type="pres">
      <dgm:prSet presAssocID="{B3C21D97-A6CE-4932-B661-B80AB7488D40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09325487-2EC5-4153-98A0-7508548D59CD}" type="pres">
      <dgm:prSet presAssocID="{8E869C8F-69DB-4731-BAE0-15C458E532D2}" presName="hierRoot1" presStyleCnt="0">
        <dgm:presLayoutVars>
          <dgm:hierBranch val="init"/>
        </dgm:presLayoutVars>
      </dgm:prSet>
      <dgm:spPr/>
    </dgm:pt>
    <dgm:pt modelId="{147B00D6-3A6B-47D3-AA77-95F36D8103F1}" type="pres">
      <dgm:prSet presAssocID="{8E869C8F-69DB-4731-BAE0-15C458E532D2}" presName="rootComposite1" presStyleCnt="0"/>
      <dgm:spPr/>
    </dgm:pt>
    <dgm:pt modelId="{09DCD3CF-89B5-4168-9B8E-1618A47E873F}" type="pres">
      <dgm:prSet presAssocID="{8E869C8F-69DB-4731-BAE0-15C458E532D2}" presName="rootText1" presStyleLbl="node0" presStyleIdx="0" presStyleCnt="1">
        <dgm:presLayoutVars>
          <dgm:chPref val="3"/>
        </dgm:presLayoutVars>
      </dgm:prSet>
      <dgm:spPr/>
    </dgm:pt>
    <dgm:pt modelId="{A6A11E47-2A92-406B-821F-60547C45E7E3}" type="pres">
      <dgm:prSet presAssocID="{8E869C8F-69DB-4731-BAE0-15C458E532D2}" presName="rootConnector1" presStyleLbl="node1" presStyleIdx="0" presStyleCnt="0"/>
      <dgm:spPr/>
    </dgm:pt>
    <dgm:pt modelId="{71328D95-6EBA-41CE-8DAF-AEDB0F020D5A}" type="pres">
      <dgm:prSet presAssocID="{8E869C8F-69DB-4731-BAE0-15C458E532D2}" presName="hierChild2" presStyleCnt="0"/>
      <dgm:spPr/>
    </dgm:pt>
    <dgm:pt modelId="{48124F72-1D56-4255-AF16-A0193908BE07}" type="pres">
      <dgm:prSet presAssocID="{ADBE9D40-3E01-479C-89A9-0B8A3109A00E}" presName="Name37" presStyleLbl="parChTrans1D2" presStyleIdx="0" presStyleCnt="3"/>
      <dgm:spPr/>
    </dgm:pt>
    <dgm:pt modelId="{A6ADD9DB-AB9E-4420-89E3-EFA711120C5B}" type="pres">
      <dgm:prSet presAssocID="{C9FEF5B0-EC21-43B2-B600-6C41CB3EE539}" presName="hierRoot2" presStyleCnt="0">
        <dgm:presLayoutVars>
          <dgm:hierBranch val="init"/>
        </dgm:presLayoutVars>
      </dgm:prSet>
      <dgm:spPr/>
    </dgm:pt>
    <dgm:pt modelId="{1E774163-AC30-4B6D-9257-F376B46B75B7}" type="pres">
      <dgm:prSet presAssocID="{C9FEF5B0-EC21-43B2-B600-6C41CB3EE539}" presName="rootComposite" presStyleCnt="0"/>
      <dgm:spPr/>
    </dgm:pt>
    <dgm:pt modelId="{CE90BD06-89BB-4CDA-A374-BB3940640745}" type="pres">
      <dgm:prSet presAssocID="{C9FEF5B0-EC21-43B2-B600-6C41CB3EE539}" presName="rootText" presStyleLbl="node2" presStyleIdx="0" presStyleCnt="3">
        <dgm:presLayoutVars>
          <dgm:chPref val="3"/>
        </dgm:presLayoutVars>
      </dgm:prSet>
      <dgm:spPr/>
    </dgm:pt>
    <dgm:pt modelId="{0E2E2941-C98A-498D-A39A-6FE8C7D56A29}" type="pres">
      <dgm:prSet presAssocID="{C9FEF5B0-EC21-43B2-B600-6C41CB3EE539}" presName="rootConnector" presStyleLbl="node2" presStyleIdx="0" presStyleCnt="3"/>
      <dgm:spPr/>
    </dgm:pt>
    <dgm:pt modelId="{A7B8FF23-46E1-4F88-B9ED-93B95321E325}" type="pres">
      <dgm:prSet presAssocID="{C9FEF5B0-EC21-43B2-B600-6C41CB3EE539}" presName="hierChild4" presStyleCnt="0"/>
      <dgm:spPr/>
    </dgm:pt>
    <dgm:pt modelId="{3FD5AD79-9444-446F-BAC7-4BF8E1103AEA}" type="pres">
      <dgm:prSet presAssocID="{F0189047-C065-4DEC-BD62-3BB5E6DE46B9}" presName="Name37" presStyleLbl="parChTrans1D3" presStyleIdx="0" presStyleCnt="3"/>
      <dgm:spPr/>
    </dgm:pt>
    <dgm:pt modelId="{2B6D5C3E-3E52-4E08-B5EB-888EA8894349}" type="pres">
      <dgm:prSet presAssocID="{5623CE54-F54E-40A4-B3CE-ED219A257C36}" presName="hierRoot2" presStyleCnt="0">
        <dgm:presLayoutVars>
          <dgm:hierBranch val="init"/>
        </dgm:presLayoutVars>
      </dgm:prSet>
      <dgm:spPr/>
    </dgm:pt>
    <dgm:pt modelId="{862EF3CC-4456-40A7-930B-EF13D6C8942A}" type="pres">
      <dgm:prSet presAssocID="{5623CE54-F54E-40A4-B3CE-ED219A257C36}" presName="rootComposite" presStyleCnt="0"/>
      <dgm:spPr/>
    </dgm:pt>
    <dgm:pt modelId="{309EBFCE-E693-4844-AA7E-BB9169382B4B}" type="pres">
      <dgm:prSet presAssocID="{5623CE54-F54E-40A4-B3CE-ED219A257C36}" presName="rootText" presStyleLbl="node3" presStyleIdx="0" presStyleCnt="3">
        <dgm:presLayoutVars>
          <dgm:chPref val="3"/>
        </dgm:presLayoutVars>
      </dgm:prSet>
      <dgm:spPr/>
    </dgm:pt>
    <dgm:pt modelId="{5AB07550-698B-4112-86A9-428304F772EA}" type="pres">
      <dgm:prSet presAssocID="{5623CE54-F54E-40A4-B3CE-ED219A257C36}" presName="rootConnector" presStyleLbl="node3" presStyleIdx="0" presStyleCnt="3"/>
      <dgm:spPr/>
    </dgm:pt>
    <dgm:pt modelId="{53F499BE-7C18-4FF7-A015-791A499C94DB}" type="pres">
      <dgm:prSet presAssocID="{5623CE54-F54E-40A4-B3CE-ED219A257C36}" presName="hierChild4" presStyleCnt="0"/>
      <dgm:spPr/>
    </dgm:pt>
    <dgm:pt modelId="{3EFF6404-B27F-4FA9-B312-1AE90BEFEB7E}" type="pres">
      <dgm:prSet presAssocID="{5623CE54-F54E-40A4-B3CE-ED219A257C36}" presName="hierChild5" presStyleCnt="0"/>
      <dgm:spPr/>
    </dgm:pt>
    <dgm:pt modelId="{776930C1-A269-4EB7-A924-A1237186ACC4}" type="pres">
      <dgm:prSet presAssocID="{C9FEF5B0-EC21-43B2-B600-6C41CB3EE539}" presName="hierChild5" presStyleCnt="0"/>
      <dgm:spPr/>
    </dgm:pt>
    <dgm:pt modelId="{CCB0656D-381E-43E7-9098-B4F4CEB3A4C6}" type="pres">
      <dgm:prSet presAssocID="{5E6E8247-876F-466E-AAEF-258D07130E7B}" presName="Name37" presStyleLbl="parChTrans1D2" presStyleIdx="1" presStyleCnt="3"/>
      <dgm:spPr/>
    </dgm:pt>
    <dgm:pt modelId="{4E0A0A71-12F1-45DC-9E58-2DB0BDE2D54E}" type="pres">
      <dgm:prSet presAssocID="{9ED131DD-B319-4B59-B012-6C8315E2102B}" presName="hierRoot2" presStyleCnt="0">
        <dgm:presLayoutVars>
          <dgm:hierBranch val="init"/>
        </dgm:presLayoutVars>
      </dgm:prSet>
      <dgm:spPr/>
    </dgm:pt>
    <dgm:pt modelId="{27045AC9-38BD-49CE-9C2A-3E195DB2578D}" type="pres">
      <dgm:prSet presAssocID="{9ED131DD-B319-4B59-B012-6C8315E2102B}" presName="rootComposite" presStyleCnt="0"/>
      <dgm:spPr/>
    </dgm:pt>
    <dgm:pt modelId="{A2305AEF-1C29-4D58-A60D-05D6D1928336}" type="pres">
      <dgm:prSet presAssocID="{9ED131DD-B319-4B59-B012-6C8315E2102B}" presName="rootText" presStyleLbl="node2" presStyleIdx="1" presStyleCnt="3">
        <dgm:presLayoutVars>
          <dgm:chPref val="3"/>
        </dgm:presLayoutVars>
      </dgm:prSet>
      <dgm:spPr/>
    </dgm:pt>
    <dgm:pt modelId="{F0D1B2FB-45AA-4820-8BFD-661847BD9619}" type="pres">
      <dgm:prSet presAssocID="{9ED131DD-B319-4B59-B012-6C8315E2102B}" presName="rootConnector" presStyleLbl="node2" presStyleIdx="1" presStyleCnt="3"/>
      <dgm:spPr/>
    </dgm:pt>
    <dgm:pt modelId="{4E3DF54D-82B7-4F62-B776-780D20E3F404}" type="pres">
      <dgm:prSet presAssocID="{9ED131DD-B319-4B59-B012-6C8315E2102B}" presName="hierChild4" presStyleCnt="0"/>
      <dgm:spPr/>
    </dgm:pt>
    <dgm:pt modelId="{852138B6-772C-4E29-B639-CED2F02DAAD3}" type="pres">
      <dgm:prSet presAssocID="{4C5102B4-CC99-4504-BBB8-75457FADB128}" presName="Name37" presStyleLbl="parChTrans1D3" presStyleIdx="1" presStyleCnt="3"/>
      <dgm:spPr/>
    </dgm:pt>
    <dgm:pt modelId="{E3054991-FF3C-4541-B4A8-5910324811B0}" type="pres">
      <dgm:prSet presAssocID="{2FD599E4-98A5-4E39-B263-E51597B9FCEA}" presName="hierRoot2" presStyleCnt="0">
        <dgm:presLayoutVars>
          <dgm:hierBranch val="init"/>
        </dgm:presLayoutVars>
      </dgm:prSet>
      <dgm:spPr/>
    </dgm:pt>
    <dgm:pt modelId="{400DD425-1A71-4C23-8B62-C815F2531C8F}" type="pres">
      <dgm:prSet presAssocID="{2FD599E4-98A5-4E39-B263-E51597B9FCEA}" presName="rootComposite" presStyleCnt="0"/>
      <dgm:spPr/>
    </dgm:pt>
    <dgm:pt modelId="{429476AB-D0CA-47DF-AD7C-4EF2FFA257BE}" type="pres">
      <dgm:prSet presAssocID="{2FD599E4-98A5-4E39-B263-E51597B9FCEA}" presName="rootText" presStyleLbl="node3" presStyleIdx="1" presStyleCnt="3">
        <dgm:presLayoutVars>
          <dgm:chPref val="3"/>
        </dgm:presLayoutVars>
      </dgm:prSet>
      <dgm:spPr/>
    </dgm:pt>
    <dgm:pt modelId="{12A69A47-48F7-4884-8CBA-75A5F3293088}" type="pres">
      <dgm:prSet presAssocID="{2FD599E4-98A5-4E39-B263-E51597B9FCEA}" presName="rootConnector" presStyleLbl="node3" presStyleIdx="1" presStyleCnt="3"/>
      <dgm:spPr/>
    </dgm:pt>
    <dgm:pt modelId="{5163E1D1-B8EB-4487-BFDC-2AC6051E0799}" type="pres">
      <dgm:prSet presAssocID="{2FD599E4-98A5-4E39-B263-E51597B9FCEA}" presName="hierChild4" presStyleCnt="0"/>
      <dgm:spPr/>
    </dgm:pt>
    <dgm:pt modelId="{6ACCB344-4555-46F4-9FFE-172C5648911F}" type="pres">
      <dgm:prSet presAssocID="{2FD599E4-98A5-4E39-B263-E51597B9FCEA}" presName="hierChild5" presStyleCnt="0"/>
      <dgm:spPr/>
    </dgm:pt>
    <dgm:pt modelId="{DC712405-592A-4336-91E9-CB45D6B749A3}" type="pres">
      <dgm:prSet presAssocID="{9ED131DD-B319-4B59-B012-6C8315E2102B}" presName="hierChild5" presStyleCnt="0"/>
      <dgm:spPr/>
    </dgm:pt>
    <dgm:pt modelId="{FF61779F-75A0-4682-BB3A-9BEEE23878EA}" type="pres">
      <dgm:prSet presAssocID="{F70F0DFF-03C8-4ED8-8E00-A43DC1960816}" presName="Name37" presStyleLbl="parChTrans1D2" presStyleIdx="2" presStyleCnt="3"/>
      <dgm:spPr/>
    </dgm:pt>
    <dgm:pt modelId="{F7A27360-DE0D-42DB-AF66-50428CCAE04C}" type="pres">
      <dgm:prSet presAssocID="{2E4AD944-DE09-4910-A010-A047217E8387}" presName="hierRoot2" presStyleCnt="0">
        <dgm:presLayoutVars>
          <dgm:hierBranch val="init"/>
        </dgm:presLayoutVars>
      </dgm:prSet>
      <dgm:spPr/>
    </dgm:pt>
    <dgm:pt modelId="{ABB4B23D-319A-48D8-9DDE-244C9A27C6F6}" type="pres">
      <dgm:prSet presAssocID="{2E4AD944-DE09-4910-A010-A047217E8387}" presName="rootComposite" presStyleCnt="0"/>
      <dgm:spPr/>
    </dgm:pt>
    <dgm:pt modelId="{782F5A69-7C18-4A23-893B-BED0BBF32919}" type="pres">
      <dgm:prSet presAssocID="{2E4AD944-DE09-4910-A010-A047217E8387}" presName="rootText" presStyleLbl="node2" presStyleIdx="2" presStyleCnt="3">
        <dgm:presLayoutVars>
          <dgm:chPref val="3"/>
        </dgm:presLayoutVars>
      </dgm:prSet>
      <dgm:spPr/>
    </dgm:pt>
    <dgm:pt modelId="{1CD6FD7D-DED5-4BCA-BDE0-CCF4BE7D2845}" type="pres">
      <dgm:prSet presAssocID="{2E4AD944-DE09-4910-A010-A047217E8387}" presName="rootConnector" presStyleLbl="node2" presStyleIdx="2" presStyleCnt="3"/>
      <dgm:spPr/>
    </dgm:pt>
    <dgm:pt modelId="{BEB15352-BEC9-4556-8F6C-F5B9E41A2F9B}" type="pres">
      <dgm:prSet presAssocID="{2E4AD944-DE09-4910-A010-A047217E8387}" presName="hierChild4" presStyleCnt="0"/>
      <dgm:spPr/>
    </dgm:pt>
    <dgm:pt modelId="{8A5C1350-5703-4D85-B61C-62DACFA9E773}" type="pres">
      <dgm:prSet presAssocID="{2EA529D6-F9E9-4F5B-B847-F1B58EA55679}" presName="Name37" presStyleLbl="parChTrans1D3" presStyleIdx="2" presStyleCnt="3"/>
      <dgm:spPr/>
    </dgm:pt>
    <dgm:pt modelId="{AEB68F84-4C51-42AE-8F7A-41D37C12AC57}" type="pres">
      <dgm:prSet presAssocID="{EBC4C095-20C4-45CC-8497-EE71C94967A6}" presName="hierRoot2" presStyleCnt="0">
        <dgm:presLayoutVars>
          <dgm:hierBranch val="init"/>
        </dgm:presLayoutVars>
      </dgm:prSet>
      <dgm:spPr/>
    </dgm:pt>
    <dgm:pt modelId="{54D8E7C8-2B16-48A3-A7A8-D9915EF410D4}" type="pres">
      <dgm:prSet presAssocID="{EBC4C095-20C4-45CC-8497-EE71C94967A6}" presName="rootComposite" presStyleCnt="0"/>
      <dgm:spPr/>
    </dgm:pt>
    <dgm:pt modelId="{1D67B6CF-542A-4DA5-9076-DF4251CB1643}" type="pres">
      <dgm:prSet presAssocID="{EBC4C095-20C4-45CC-8497-EE71C94967A6}" presName="rootText" presStyleLbl="node3" presStyleIdx="2" presStyleCnt="3">
        <dgm:presLayoutVars>
          <dgm:chPref val="3"/>
        </dgm:presLayoutVars>
      </dgm:prSet>
      <dgm:spPr/>
    </dgm:pt>
    <dgm:pt modelId="{44C674CA-BB2B-4370-8E10-1F0EA9E3FDB1}" type="pres">
      <dgm:prSet presAssocID="{EBC4C095-20C4-45CC-8497-EE71C94967A6}" presName="rootConnector" presStyleLbl="node3" presStyleIdx="2" presStyleCnt="3"/>
      <dgm:spPr/>
    </dgm:pt>
    <dgm:pt modelId="{2E1EE84C-6CF4-444C-8882-371A518BE7B6}" type="pres">
      <dgm:prSet presAssocID="{EBC4C095-20C4-45CC-8497-EE71C94967A6}" presName="hierChild4" presStyleCnt="0"/>
      <dgm:spPr/>
    </dgm:pt>
    <dgm:pt modelId="{3B83FAD2-138C-4FE9-953A-C551C45B2C64}" type="pres">
      <dgm:prSet presAssocID="{EBC4C095-20C4-45CC-8497-EE71C94967A6}" presName="hierChild5" presStyleCnt="0"/>
      <dgm:spPr/>
    </dgm:pt>
    <dgm:pt modelId="{BFF821C1-D37D-4197-B57F-C935303B6107}" type="pres">
      <dgm:prSet presAssocID="{2E4AD944-DE09-4910-A010-A047217E8387}" presName="hierChild5" presStyleCnt="0"/>
      <dgm:spPr/>
    </dgm:pt>
    <dgm:pt modelId="{5A0C98AC-42DD-41C3-A680-EC1C26BF6EFB}" type="pres">
      <dgm:prSet presAssocID="{8E869C8F-69DB-4731-BAE0-15C458E532D2}" presName="hierChild3" presStyleCnt="0"/>
      <dgm:spPr/>
    </dgm:pt>
  </dgm:ptLst>
  <dgm:cxnLst>
    <dgm:cxn modelId="{E5912109-726D-4DCD-9C0A-DEEB10312E69}" srcId="{8E869C8F-69DB-4731-BAE0-15C458E532D2}" destId="{C9FEF5B0-EC21-43B2-B600-6C41CB3EE539}" srcOrd="0" destOrd="0" parTransId="{ADBE9D40-3E01-479C-89A9-0B8A3109A00E}" sibTransId="{85A5B996-3EFE-46A2-8398-BA527C1B2B47}"/>
    <dgm:cxn modelId="{C5DA8113-A45A-4512-828A-09E7383E7404}" type="presOf" srcId="{B3C21D97-A6CE-4932-B661-B80AB7488D40}" destId="{94287FF9-629F-41A3-959B-076985A2E7E9}" srcOrd="0" destOrd="0" presId="urn:microsoft.com/office/officeart/2005/8/layout/orgChart1"/>
    <dgm:cxn modelId="{7D66D019-9810-4A81-B4DF-6A45DC62542E}" srcId="{C9FEF5B0-EC21-43B2-B600-6C41CB3EE539}" destId="{5623CE54-F54E-40A4-B3CE-ED219A257C36}" srcOrd="0" destOrd="0" parTransId="{F0189047-C065-4DEC-BD62-3BB5E6DE46B9}" sibTransId="{26FD963A-02FA-4302-87EB-02527C70D8A2}"/>
    <dgm:cxn modelId="{B911A91B-0FBA-4AB0-9146-CAD43B5B01AA}" type="presOf" srcId="{5623CE54-F54E-40A4-B3CE-ED219A257C36}" destId="{309EBFCE-E693-4844-AA7E-BB9169382B4B}" srcOrd="0" destOrd="0" presId="urn:microsoft.com/office/officeart/2005/8/layout/orgChart1"/>
    <dgm:cxn modelId="{58EC5B34-9F61-4DCE-BAC7-882F537C3481}" type="presOf" srcId="{2E4AD944-DE09-4910-A010-A047217E8387}" destId="{782F5A69-7C18-4A23-893B-BED0BBF32919}" srcOrd="0" destOrd="0" presId="urn:microsoft.com/office/officeart/2005/8/layout/orgChart1"/>
    <dgm:cxn modelId="{8CB0373B-B472-499E-BE4B-B4B17D5619F6}" srcId="{2E4AD944-DE09-4910-A010-A047217E8387}" destId="{EBC4C095-20C4-45CC-8497-EE71C94967A6}" srcOrd="0" destOrd="0" parTransId="{2EA529D6-F9E9-4F5B-B847-F1B58EA55679}" sibTransId="{A63565CA-1876-46B3-9A20-2460ABBA036B}"/>
    <dgm:cxn modelId="{9A74703F-959C-4BF9-93F6-33B158012EE5}" type="presOf" srcId="{9ED131DD-B319-4B59-B012-6C8315E2102B}" destId="{F0D1B2FB-45AA-4820-8BFD-661847BD9619}" srcOrd="1" destOrd="0" presId="urn:microsoft.com/office/officeart/2005/8/layout/orgChart1"/>
    <dgm:cxn modelId="{43ABFE5B-1C1E-44E5-9331-F7D620620187}" srcId="{9ED131DD-B319-4B59-B012-6C8315E2102B}" destId="{2FD599E4-98A5-4E39-B263-E51597B9FCEA}" srcOrd="0" destOrd="0" parTransId="{4C5102B4-CC99-4504-BBB8-75457FADB128}" sibTransId="{4021EBFE-C17D-4462-B331-E5A674896D8D}"/>
    <dgm:cxn modelId="{8B51765E-7052-4D20-B1C1-7AB3E43625BE}" type="presOf" srcId="{C9FEF5B0-EC21-43B2-B600-6C41CB3EE539}" destId="{0E2E2941-C98A-498D-A39A-6FE8C7D56A29}" srcOrd="1" destOrd="0" presId="urn:microsoft.com/office/officeart/2005/8/layout/orgChart1"/>
    <dgm:cxn modelId="{4006B762-0E2F-4F4C-BE22-C9EC7D5169CD}" type="presOf" srcId="{2E4AD944-DE09-4910-A010-A047217E8387}" destId="{1CD6FD7D-DED5-4BCA-BDE0-CCF4BE7D2845}" srcOrd="1" destOrd="0" presId="urn:microsoft.com/office/officeart/2005/8/layout/orgChart1"/>
    <dgm:cxn modelId="{FCD45447-3D6F-409D-A6C1-1E63480CBCA4}" type="presOf" srcId="{2FD599E4-98A5-4E39-B263-E51597B9FCEA}" destId="{12A69A47-48F7-4884-8CBA-75A5F3293088}" srcOrd="1" destOrd="0" presId="urn:microsoft.com/office/officeart/2005/8/layout/orgChart1"/>
    <dgm:cxn modelId="{54A4C06A-ECDE-4DC1-ABDB-8B8043E6BEBD}" srcId="{8E869C8F-69DB-4731-BAE0-15C458E532D2}" destId="{9ED131DD-B319-4B59-B012-6C8315E2102B}" srcOrd="1" destOrd="0" parTransId="{5E6E8247-876F-466E-AAEF-258D07130E7B}" sibTransId="{92DFBF01-3B4F-4D62-85DD-B5EB762BA78F}"/>
    <dgm:cxn modelId="{FA26DF4C-CA06-4601-8F1F-23307E749F42}" type="presOf" srcId="{2FD599E4-98A5-4E39-B263-E51597B9FCEA}" destId="{429476AB-D0CA-47DF-AD7C-4EF2FFA257BE}" srcOrd="0" destOrd="0" presId="urn:microsoft.com/office/officeart/2005/8/layout/orgChart1"/>
    <dgm:cxn modelId="{D6FD0574-5E9E-479A-B71C-A216E13F98DE}" type="presOf" srcId="{EBC4C095-20C4-45CC-8497-EE71C94967A6}" destId="{44C674CA-BB2B-4370-8E10-1F0EA9E3FDB1}" srcOrd="1" destOrd="0" presId="urn:microsoft.com/office/officeart/2005/8/layout/orgChart1"/>
    <dgm:cxn modelId="{F72D3558-AA87-477D-9F1F-14FFC3D91196}" type="presOf" srcId="{C9FEF5B0-EC21-43B2-B600-6C41CB3EE539}" destId="{CE90BD06-89BB-4CDA-A374-BB3940640745}" srcOrd="0" destOrd="0" presId="urn:microsoft.com/office/officeart/2005/8/layout/orgChart1"/>
    <dgm:cxn modelId="{E4E2637C-F97F-457D-9519-FCA12B6A08C2}" type="presOf" srcId="{5E6E8247-876F-466E-AAEF-258D07130E7B}" destId="{CCB0656D-381E-43E7-9098-B4F4CEB3A4C6}" srcOrd="0" destOrd="0" presId="urn:microsoft.com/office/officeart/2005/8/layout/orgChart1"/>
    <dgm:cxn modelId="{4AE8548F-47AE-459D-ACD4-2EBE674C1A25}" type="presOf" srcId="{9ED131DD-B319-4B59-B012-6C8315E2102B}" destId="{A2305AEF-1C29-4D58-A60D-05D6D1928336}" srcOrd="0" destOrd="0" presId="urn:microsoft.com/office/officeart/2005/8/layout/orgChart1"/>
    <dgm:cxn modelId="{7548868F-C04D-42C4-AF00-B266F9349CFE}" srcId="{B3C21D97-A6CE-4932-B661-B80AB7488D40}" destId="{8E869C8F-69DB-4731-BAE0-15C458E532D2}" srcOrd="0" destOrd="0" parTransId="{6CFBA0C7-5257-48C1-B07E-9C180504EA81}" sibTransId="{47B81D88-9964-4033-AA55-88301990BE0F}"/>
    <dgm:cxn modelId="{D1B5B496-B4D3-421A-8DEF-E743A3202AD2}" type="presOf" srcId="{8E869C8F-69DB-4731-BAE0-15C458E532D2}" destId="{A6A11E47-2A92-406B-821F-60547C45E7E3}" srcOrd="1" destOrd="0" presId="urn:microsoft.com/office/officeart/2005/8/layout/orgChart1"/>
    <dgm:cxn modelId="{6377559A-B185-4F68-B6F2-58B7CC53DD41}" type="presOf" srcId="{5623CE54-F54E-40A4-B3CE-ED219A257C36}" destId="{5AB07550-698B-4112-86A9-428304F772EA}" srcOrd="1" destOrd="0" presId="urn:microsoft.com/office/officeart/2005/8/layout/orgChart1"/>
    <dgm:cxn modelId="{FC3404A9-10C3-40AE-A416-5B60C7A7945F}" type="presOf" srcId="{ADBE9D40-3E01-479C-89A9-0B8A3109A00E}" destId="{48124F72-1D56-4255-AF16-A0193908BE07}" srcOrd="0" destOrd="0" presId="urn:microsoft.com/office/officeart/2005/8/layout/orgChart1"/>
    <dgm:cxn modelId="{2F45D8AF-B47E-48DB-BB0B-92EE00565B21}" type="presOf" srcId="{2EA529D6-F9E9-4F5B-B847-F1B58EA55679}" destId="{8A5C1350-5703-4D85-B61C-62DACFA9E773}" srcOrd="0" destOrd="0" presId="urn:microsoft.com/office/officeart/2005/8/layout/orgChart1"/>
    <dgm:cxn modelId="{835A1DB3-3045-4E54-9260-72621BBF7A84}" type="presOf" srcId="{8E869C8F-69DB-4731-BAE0-15C458E532D2}" destId="{09DCD3CF-89B5-4168-9B8E-1618A47E873F}" srcOrd="0" destOrd="0" presId="urn:microsoft.com/office/officeart/2005/8/layout/orgChart1"/>
    <dgm:cxn modelId="{CCCA63B6-385A-492D-9CC6-D4490BFA6B24}" srcId="{8E869C8F-69DB-4731-BAE0-15C458E532D2}" destId="{2E4AD944-DE09-4910-A010-A047217E8387}" srcOrd="2" destOrd="0" parTransId="{F70F0DFF-03C8-4ED8-8E00-A43DC1960816}" sibTransId="{5F3921BC-684A-44CD-BD0B-AC77B45F61CA}"/>
    <dgm:cxn modelId="{318F6BBE-9BF7-41E7-9BD9-C0DB6BD09E25}" type="presOf" srcId="{EBC4C095-20C4-45CC-8497-EE71C94967A6}" destId="{1D67B6CF-542A-4DA5-9076-DF4251CB1643}" srcOrd="0" destOrd="0" presId="urn:microsoft.com/office/officeart/2005/8/layout/orgChart1"/>
    <dgm:cxn modelId="{614E30DE-C2FB-47AB-A3B5-06D39441CD4E}" type="presOf" srcId="{F0189047-C065-4DEC-BD62-3BB5E6DE46B9}" destId="{3FD5AD79-9444-446F-BAC7-4BF8E1103AEA}" srcOrd="0" destOrd="0" presId="urn:microsoft.com/office/officeart/2005/8/layout/orgChart1"/>
    <dgm:cxn modelId="{B56205E5-948B-4509-B9DC-6B00E9EE0024}" type="presOf" srcId="{F70F0DFF-03C8-4ED8-8E00-A43DC1960816}" destId="{FF61779F-75A0-4682-BB3A-9BEEE23878EA}" srcOrd="0" destOrd="0" presId="urn:microsoft.com/office/officeart/2005/8/layout/orgChart1"/>
    <dgm:cxn modelId="{67D662F5-C852-448C-92CC-2C399A42F42A}" type="presOf" srcId="{4C5102B4-CC99-4504-BBB8-75457FADB128}" destId="{852138B6-772C-4E29-B639-CED2F02DAAD3}" srcOrd="0" destOrd="0" presId="urn:microsoft.com/office/officeart/2005/8/layout/orgChart1"/>
    <dgm:cxn modelId="{530D0AEE-B919-40BF-B292-842CE36273CE}" type="presParOf" srcId="{94287FF9-629F-41A3-959B-076985A2E7E9}" destId="{09325487-2EC5-4153-98A0-7508548D59CD}" srcOrd="0" destOrd="0" presId="urn:microsoft.com/office/officeart/2005/8/layout/orgChart1"/>
    <dgm:cxn modelId="{9E7C71C9-1877-40FD-919B-6DEAC3F6D09E}" type="presParOf" srcId="{09325487-2EC5-4153-98A0-7508548D59CD}" destId="{147B00D6-3A6B-47D3-AA77-95F36D8103F1}" srcOrd="0" destOrd="0" presId="urn:microsoft.com/office/officeart/2005/8/layout/orgChart1"/>
    <dgm:cxn modelId="{4BBC5EE8-351D-4FE7-BB33-ED1BB8826A06}" type="presParOf" srcId="{147B00D6-3A6B-47D3-AA77-95F36D8103F1}" destId="{09DCD3CF-89B5-4168-9B8E-1618A47E873F}" srcOrd="0" destOrd="0" presId="urn:microsoft.com/office/officeart/2005/8/layout/orgChart1"/>
    <dgm:cxn modelId="{DEC2BD59-ED24-4203-B337-08BBC124B095}" type="presParOf" srcId="{147B00D6-3A6B-47D3-AA77-95F36D8103F1}" destId="{A6A11E47-2A92-406B-821F-60547C45E7E3}" srcOrd="1" destOrd="0" presId="urn:microsoft.com/office/officeart/2005/8/layout/orgChart1"/>
    <dgm:cxn modelId="{7FFB02C6-61E9-47BF-9D57-0934A29D1625}" type="presParOf" srcId="{09325487-2EC5-4153-98A0-7508548D59CD}" destId="{71328D95-6EBA-41CE-8DAF-AEDB0F020D5A}" srcOrd="1" destOrd="0" presId="urn:microsoft.com/office/officeart/2005/8/layout/orgChart1"/>
    <dgm:cxn modelId="{4B67EB43-2CD1-4A36-B2BF-980B1873453B}" type="presParOf" srcId="{71328D95-6EBA-41CE-8DAF-AEDB0F020D5A}" destId="{48124F72-1D56-4255-AF16-A0193908BE07}" srcOrd="0" destOrd="0" presId="urn:microsoft.com/office/officeart/2005/8/layout/orgChart1"/>
    <dgm:cxn modelId="{5FDA203D-08B8-4CFC-B83E-40D2E79F4675}" type="presParOf" srcId="{71328D95-6EBA-41CE-8DAF-AEDB0F020D5A}" destId="{A6ADD9DB-AB9E-4420-89E3-EFA711120C5B}" srcOrd="1" destOrd="0" presId="urn:microsoft.com/office/officeart/2005/8/layout/orgChart1"/>
    <dgm:cxn modelId="{0010ED33-F6B4-48B5-9A01-0784EF8E84A0}" type="presParOf" srcId="{A6ADD9DB-AB9E-4420-89E3-EFA711120C5B}" destId="{1E774163-AC30-4B6D-9257-F376B46B75B7}" srcOrd="0" destOrd="0" presId="urn:microsoft.com/office/officeart/2005/8/layout/orgChart1"/>
    <dgm:cxn modelId="{7DD75FA4-F2FC-4BF4-8580-7B1AF2626761}" type="presParOf" srcId="{1E774163-AC30-4B6D-9257-F376B46B75B7}" destId="{CE90BD06-89BB-4CDA-A374-BB3940640745}" srcOrd="0" destOrd="0" presId="urn:microsoft.com/office/officeart/2005/8/layout/orgChart1"/>
    <dgm:cxn modelId="{1E15A00E-5174-4160-B9A8-63127FD6E14D}" type="presParOf" srcId="{1E774163-AC30-4B6D-9257-F376B46B75B7}" destId="{0E2E2941-C98A-498D-A39A-6FE8C7D56A29}" srcOrd="1" destOrd="0" presId="urn:microsoft.com/office/officeart/2005/8/layout/orgChart1"/>
    <dgm:cxn modelId="{FF4CE45D-5D39-4044-A573-236943E6CBA6}" type="presParOf" srcId="{A6ADD9DB-AB9E-4420-89E3-EFA711120C5B}" destId="{A7B8FF23-46E1-4F88-B9ED-93B95321E325}" srcOrd="1" destOrd="0" presId="urn:microsoft.com/office/officeart/2005/8/layout/orgChart1"/>
    <dgm:cxn modelId="{5900C135-D4C7-4872-9842-6BE319544AA7}" type="presParOf" srcId="{A7B8FF23-46E1-4F88-B9ED-93B95321E325}" destId="{3FD5AD79-9444-446F-BAC7-4BF8E1103AEA}" srcOrd="0" destOrd="0" presId="urn:microsoft.com/office/officeart/2005/8/layout/orgChart1"/>
    <dgm:cxn modelId="{76F279D4-8FEB-4E9A-AC6A-CC4CDA6E9DB0}" type="presParOf" srcId="{A7B8FF23-46E1-4F88-B9ED-93B95321E325}" destId="{2B6D5C3E-3E52-4E08-B5EB-888EA8894349}" srcOrd="1" destOrd="0" presId="urn:microsoft.com/office/officeart/2005/8/layout/orgChart1"/>
    <dgm:cxn modelId="{59F0FBDC-69C0-4EC2-9FE3-157A27F34BBB}" type="presParOf" srcId="{2B6D5C3E-3E52-4E08-B5EB-888EA8894349}" destId="{862EF3CC-4456-40A7-930B-EF13D6C8942A}" srcOrd="0" destOrd="0" presId="urn:microsoft.com/office/officeart/2005/8/layout/orgChart1"/>
    <dgm:cxn modelId="{0074DB9C-7C78-470C-B3A8-ED3CB970E3F0}" type="presParOf" srcId="{862EF3CC-4456-40A7-930B-EF13D6C8942A}" destId="{309EBFCE-E693-4844-AA7E-BB9169382B4B}" srcOrd="0" destOrd="0" presId="urn:microsoft.com/office/officeart/2005/8/layout/orgChart1"/>
    <dgm:cxn modelId="{9303D17C-A6E5-4D02-A3BB-76EC764F8156}" type="presParOf" srcId="{862EF3CC-4456-40A7-930B-EF13D6C8942A}" destId="{5AB07550-698B-4112-86A9-428304F772EA}" srcOrd="1" destOrd="0" presId="urn:microsoft.com/office/officeart/2005/8/layout/orgChart1"/>
    <dgm:cxn modelId="{1F9763A4-4FF9-4B50-B31E-15EB613FC0F7}" type="presParOf" srcId="{2B6D5C3E-3E52-4E08-B5EB-888EA8894349}" destId="{53F499BE-7C18-4FF7-A015-791A499C94DB}" srcOrd="1" destOrd="0" presId="urn:microsoft.com/office/officeart/2005/8/layout/orgChart1"/>
    <dgm:cxn modelId="{AD019363-9F5C-4357-B304-442FB6015200}" type="presParOf" srcId="{2B6D5C3E-3E52-4E08-B5EB-888EA8894349}" destId="{3EFF6404-B27F-4FA9-B312-1AE90BEFEB7E}" srcOrd="2" destOrd="0" presId="urn:microsoft.com/office/officeart/2005/8/layout/orgChart1"/>
    <dgm:cxn modelId="{F6180A1F-4C48-43DA-8BBC-62BCCBE587A5}" type="presParOf" srcId="{A6ADD9DB-AB9E-4420-89E3-EFA711120C5B}" destId="{776930C1-A269-4EB7-A924-A1237186ACC4}" srcOrd="2" destOrd="0" presId="urn:microsoft.com/office/officeart/2005/8/layout/orgChart1"/>
    <dgm:cxn modelId="{2FD158E4-5120-4358-AAD6-DF8B101F22AB}" type="presParOf" srcId="{71328D95-6EBA-41CE-8DAF-AEDB0F020D5A}" destId="{CCB0656D-381E-43E7-9098-B4F4CEB3A4C6}" srcOrd="2" destOrd="0" presId="urn:microsoft.com/office/officeart/2005/8/layout/orgChart1"/>
    <dgm:cxn modelId="{A66FE650-49EB-412A-9ED8-EA7E78B48CC3}" type="presParOf" srcId="{71328D95-6EBA-41CE-8DAF-AEDB0F020D5A}" destId="{4E0A0A71-12F1-45DC-9E58-2DB0BDE2D54E}" srcOrd="3" destOrd="0" presId="urn:microsoft.com/office/officeart/2005/8/layout/orgChart1"/>
    <dgm:cxn modelId="{A121007C-614F-4BFB-AFC9-84CDE7D9C3C4}" type="presParOf" srcId="{4E0A0A71-12F1-45DC-9E58-2DB0BDE2D54E}" destId="{27045AC9-38BD-49CE-9C2A-3E195DB2578D}" srcOrd="0" destOrd="0" presId="urn:microsoft.com/office/officeart/2005/8/layout/orgChart1"/>
    <dgm:cxn modelId="{8C7816C8-1E75-4931-9E8C-130DE65B8C21}" type="presParOf" srcId="{27045AC9-38BD-49CE-9C2A-3E195DB2578D}" destId="{A2305AEF-1C29-4D58-A60D-05D6D1928336}" srcOrd="0" destOrd="0" presId="urn:microsoft.com/office/officeart/2005/8/layout/orgChart1"/>
    <dgm:cxn modelId="{02CB2937-2D0F-4D90-87D0-62B8890A1AED}" type="presParOf" srcId="{27045AC9-38BD-49CE-9C2A-3E195DB2578D}" destId="{F0D1B2FB-45AA-4820-8BFD-661847BD9619}" srcOrd="1" destOrd="0" presId="urn:microsoft.com/office/officeart/2005/8/layout/orgChart1"/>
    <dgm:cxn modelId="{C70E6A48-D4E8-40AF-8253-6CF55934DB09}" type="presParOf" srcId="{4E0A0A71-12F1-45DC-9E58-2DB0BDE2D54E}" destId="{4E3DF54D-82B7-4F62-B776-780D20E3F404}" srcOrd="1" destOrd="0" presId="urn:microsoft.com/office/officeart/2005/8/layout/orgChart1"/>
    <dgm:cxn modelId="{2027FCF2-5479-4284-AD7E-85131FA48C01}" type="presParOf" srcId="{4E3DF54D-82B7-4F62-B776-780D20E3F404}" destId="{852138B6-772C-4E29-B639-CED2F02DAAD3}" srcOrd="0" destOrd="0" presId="urn:microsoft.com/office/officeart/2005/8/layout/orgChart1"/>
    <dgm:cxn modelId="{B5FD4B27-96FA-47E5-8E66-E6FF39BE00F3}" type="presParOf" srcId="{4E3DF54D-82B7-4F62-B776-780D20E3F404}" destId="{E3054991-FF3C-4541-B4A8-5910324811B0}" srcOrd="1" destOrd="0" presId="urn:microsoft.com/office/officeart/2005/8/layout/orgChart1"/>
    <dgm:cxn modelId="{A5E1DE96-170D-4D47-BB72-15FFA180A05C}" type="presParOf" srcId="{E3054991-FF3C-4541-B4A8-5910324811B0}" destId="{400DD425-1A71-4C23-8B62-C815F2531C8F}" srcOrd="0" destOrd="0" presId="urn:microsoft.com/office/officeart/2005/8/layout/orgChart1"/>
    <dgm:cxn modelId="{A74CC157-7355-45D8-AD6F-E897768C5720}" type="presParOf" srcId="{400DD425-1A71-4C23-8B62-C815F2531C8F}" destId="{429476AB-D0CA-47DF-AD7C-4EF2FFA257BE}" srcOrd="0" destOrd="0" presId="urn:microsoft.com/office/officeart/2005/8/layout/orgChart1"/>
    <dgm:cxn modelId="{BE5331D1-C5E8-4D10-B584-ED98719975F4}" type="presParOf" srcId="{400DD425-1A71-4C23-8B62-C815F2531C8F}" destId="{12A69A47-48F7-4884-8CBA-75A5F3293088}" srcOrd="1" destOrd="0" presId="urn:microsoft.com/office/officeart/2005/8/layout/orgChart1"/>
    <dgm:cxn modelId="{06401A9F-FC6D-4F78-9861-0C1914AAD28E}" type="presParOf" srcId="{E3054991-FF3C-4541-B4A8-5910324811B0}" destId="{5163E1D1-B8EB-4487-BFDC-2AC6051E0799}" srcOrd="1" destOrd="0" presId="urn:microsoft.com/office/officeart/2005/8/layout/orgChart1"/>
    <dgm:cxn modelId="{08A3549A-0F70-44F8-94C8-0D09538649F6}" type="presParOf" srcId="{E3054991-FF3C-4541-B4A8-5910324811B0}" destId="{6ACCB344-4555-46F4-9FFE-172C5648911F}" srcOrd="2" destOrd="0" presId="urn:microsoft.com/office/officeart/2005/8/layout/orgChart1"/>
    <dgm:cxn modelId="{2AD19567-31C3-407B-9242-A0CA0419DA9B}" type="presParOf" srcId="{4E0A0A71-12F1-45DC-9E58-2DB0BDE2D54E}" destId="{DC712405-592A-4336-91E9-CB45D6B749A3}" srcOrd="2" destOrd="0" presId="urn:microsoft.com/office/officeart/2005/8/layout/orgChart1"/>
    <dgm:cxn modelId="{8E785420-68ED-421E-9A39-3EBC64D9D063}" type="presParOf" srcId="{71328D95-6EBA-41CE-8DAF-AEDB0F020D5A}" destId="{FF61779F-75A0-4682-BB3A-9BEEE23878EA}" srcOrd="4" destOrd="0" presId="urn:microsoft.com/office/officeart/2005/8/layout/orgChart1"/>
    <dgm:cxn modelId="{E81BE0D2-EFB3-4FD6-A8F8-FA30E80C743A}" type="presParOf" srcId="{71328D95-6EBA-41CE-8DAF-AEDB0F020D5A}" destId="{F7A27360-DE0D-42DB-AF66-50428CCAE04C}" srcOrd="5" destOrd="0" presId="urn:microsoft.com/office/officeart/2005/8/layout/orgChart1"/>
    <dgm:cxn modelId="{9DB7F119-E275-4861-BA45-15CDBA2A0E0A}" type="presParOf" srcId="{F7A27360-DE0D-42DB-AF66-50428CCAE04C}" destId="{ABB4B23D-319A-48D8-9DDE-244C9A27C6F6}" srcOrd="0" destOrd="0" presId="urn:microsoft.com/office/officeart/2005/8/layout/orgChart1"/>
    <dgm:cxn modelId="{63B01E14-79B1-4AFE-B4C3-25910369AAC1}" type="presParOf" srcId="{ABB4B23D-319A-48D8-9DDE-244C9A27C6F6}" destId="{782F5A69-7C18-4A23-893B-BED0BBF32919}" srcOrd="0" destOrd="0" presId="urn:microsoft.com/office/officeart/2005/8/layout/orgChart1"/>
    <dgm:cxn modelId="{8A51F373-6F17-4497-AE91-C8D31C6BE8CC}" type="presParOf" srcId="{ABB4B23D-319A-48D8-9DDE-244C9A27C6F6}" destId="{1CD6FD7D-DED5-4BCA-BDE0-CCF4BE7D2845}" srcOrd="1" destOrd="0" presId="urn:microsoft.com/office/officeart/2005/8/layout/orgChart1"/>
    <dgm:cxn modelId="{CCCDB3FE-DC4B-4DC0-8FB4-DCF3E336963E}" type="presParOf" srcId="{F7A27360-DE0D-42DB-AF66-50428CCAE04C}" destId="{BEB15352-BEC9-4556-8F6C-F5B9E41A2F9B}" srcOrd="1" destOrd="0" presId="urn:microsoft.com/office/officeart/2005/8/layout/orgChart1"/>
    <dgm:cxn modelId="{D2540E8D-3702-40D6-BA42-3CF994C38084}" type="presParOf" srcId="{BEB15352-BEC9-4556-8F6C-F5B9E41A2F9B}" destId="{8A5C1350-5703-4D85-B61C-62DACFA9E773}" srcOrd="0" destOrd="0" presId="urn:microsoft.com/office/officeart/2005/8/layout/orgChart1"/>
    <dgm:cxn modelId="{373072FA-1D5C-431D-B3F5-7E89C4B4726B}" type="presParOf" srcId="{BEB15352-BEC9-4556-8F6C-F5B9E41A2F9B}" destId="{AEB68F84-4C51-42AE-8F7A-41D37C12AC57}" srcOrd="1" destOrd="0" presId="urn:microsoft.com/office/officeart/2005/8/layout/orgChart1"/>
    <dgm:cxn modelId="{803596CE-2D09-4D52-909E-53F2F5934FD9}" type="presParOf" srcId="{AEB68F84-4C51-42AE-8F7A-41D37C12AC57}" destId="{54D8E7C8-2B16-48A3-A7A8-D9915EF410D4}" srcOrd="0" destOrd="0" presId="urn:microsoft.com/office/officeart/2005/8/layout/orgChart1"/>
    <dgm:cxn modelId="{DCF71AC6-F3FB-4775-B5DF-D9DDF57FF180}" type="presParOf" srcId="{54D8E7C8-2B16-48A3-A7A8-D9915EF410D4}" destId="{1D67B6CF-542A-4DA5-9076-DF4251CB1643}" srcOrd="0" destOrd="0" presId="urn:microsoft.com/office/officeart/2005/8/layout/orgChart1"/>
    <dgm:cxn modelId="{682572C7-EC22-4588-A867-E7F5AFBD96C2}" type="presParOf" srcId="{54D8E7C8-2B16-48A3-A7A8-D9915EF410D4}" destId="{44C674CA-BB2B-4370-8E10-1F0EA9E3FDB1}" srcOrd="1" destOrd="0" presId="urn:microsoft.com/office/officeart/2005/8/layout/orgChart1"/>
    <dgm:cxn modelId="{08BC8A96-D08F-4C31-9237-E85B1835C3A2}" type="presParOf" srcId="{AEB68F84-4C51-42AE-8F7A-41D37C12AC57}" destId="{2E1EE84C-6CF4-444C-8882-371A518BE7B6}" srcOrd="1" destOrd="0" presId="urn:microsoft.com/office/officeart/2005/8/layout/orgChart1"/>
    <dgm:cxn modelId="{8422102E-EB2A-4A51-AD4A-D4C9E2C002CD}" type="presParOf" srcId="{AEB68F84-4C51-42AE-8F7A-41D37C12AC57}" destId="{3B83FAD2-138C-4FE9-953A-C551C45B2C64}" srcOrd="2" destOrd="0" presId="urn:microsoft.com/office/officeart/2005/8/layout/orgChart1"/>
    <dgm:cxn modelId="{AA12E476-AF3D-4B8E-AF05-58BC76B0E3DB}" type="presParOf" srcId="{F7A27360-DE0D-42DB-AF66-50428CCAE04C}" destId="{BFF821C1-D37D-4197-B57F-C935303B6107}" srcOrd="2" destOrd="0" presId="urn:microsoft.com/office/officeart/2005/8/layout/orgChart1"/>
    <dgm:cxn modelId="{ABA60A07-272B-4617-8074-83111F4428CC}" type="presParOf" srcId="{09325487-2EC5-4153-98A0-7508548D59CD}" destId="{5A0C98AC-42DD-41C3-A680-EC1C26BF6EFB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A5C1350-5703-4D85-B61C-62DACFA9E773}">
      <dsp:nvSpPr>
        <dsp:cNvPr id="0" name=""/>
        <dsp:cNvSpPr/>
      </dsp:nvSpPr>
      <dsp:spPr>
        <a:xfrm>
          <a:off x="7238143" y="2703355"/>
          <a:ext cx="334995" cy="10273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27318"/>
              </a:lnTo>
              <a:lnTo>
                <a:pt x="334995" y="1027318"/>
              </a:lnTo>
            </a:path>
          </a:pathLst>
        </a:custGeom>
        <a:noFill/>
        <a:ln w="12700" cap="flat" cmpd="sng" algn="ctr">
          <a:solidFill>
            <a:schemeClr val="accent5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61779F-75A0-4682-BB3A-9BEEE23878EA}">
      <dsp:nvSpPr>
        <dsp:cNvPr id="0" name=""/>
        <dsp:cNvSpPr/>
      </dsp:nvSpPr>
      <dsp:spPr>
        <a:xfrm>
          <a:off x="5429169" y="1117711"/>
          <a:ext cx="2702294" cy="4689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4496"/>
              </a:lnTo>
              <a:lnTo>
                <a:pt x="2702294" y="234496"/>
              </a:lnTo>
              <a:lnTo>
                <a:pt x="2702294" y="468993"/>
              </a:lnTo>
            </a:path>
          </a:pathLst>
        </a:custGeom>
        <a:noFill/>
        <a:ln w="12700" cap="flat" cmpd="sng" algn="ctr">
          <a:solidFill>
            <a:schemeClr val="accent5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52138B6-772C-4E29-B639-CED2F02DAAD3}">
      <dsp:nvSpPr>
        <dsp:cNvPr id="0" name=""/>
        <dsp:cNvSpPr/>
      </dsp:nvSpPr>
      <dsp:spPr>
        <a:xfrm>
          <a:off x="4535848" y="2703355"/>
          <a:ext cx="334995" cy="10273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27318"/>
              </a:lnTo>
              <a:lnTo>
                <a:pt x="334995" y="1027318"/>
              </a:lnTo>
            </a:path>
          </a:pathLst>
        </a:custGeom>
        <a:noFill/>
        <a:ln w="12700" cap="flat" cmpd="sng" algn="ctr">
          <a:solidFill>
            <a:schemeClr val="accent5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B0656D-381E-43E7-9098-B4F4CEB3A4C6}">
      <dsp:nvSpPr>
        <dsp:cNvPr id="0" name=""/>
        <dsp:cNvSpPr/>
      </dsp:nvSpPr>
      <dsp:spPr>
        <a:xfrm>
          <a:off x="5383449" y="1117711"/>
          <a:ext cx="91440" cy="46899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468993"/>
              </a:lnTo>
            </a:path>
          </a:pathLst>
        </a:custGeom>
        <a:noFill/>
        <a:ln w="12700" cap="flat" cmpd="sng" algn="ctr">
          <a:solidFill>
            <a:schemeClr val="accent5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D5AD79-9444-446F-BAC7-4BF8E1103AEA}">
      <dsp:nvSpPr>
        <dsp:cNvPr id="0" name=""/>
        <dsp:cNvSpPr/>
      </dsp:nvSpPr>
      <dsp:spPr>
        <a:xfrm>
          <a:off x="1833554" y="2703355"/>
          <a:ext cx="334995" cy="10273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27318"/>
              </a:lnTo>
              <a:lnTo>
                <a:pt x="334995" y="1027318"/>
              </a:lnTo>
            </a:path>
          </a:pathLst>
        </a:custGeom>
        <a:noFill/>
        <a:ln w="12700" cap="flat" cmpd="sng" algn="ctr">
          <a:solidFill>
            <a:schemeClr val="accent5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124F72-1D56-4255-AF16-A0193908BE07}">
      <dsp:nvSpPr>
        <dsp:cNvPr id="0" name=""/>
        <dsp:cNvSpPr/>
      </dsp:nvSpPr>
      <dsp:spPr>
        <a:xfrm>
          <a:off x="2726874" y="1117711"/>
          <a:ext cx="2702294" cy="468993"/>
        </a:xfrm>
        <a:custGeom>
          <a:avLst/>
          <a:gdLst/>
          <a:ahLst/>
          <a:cxnLst/>
          <a:rect l="0" t="0" r="0" b="0"/>
          <a:pathLst>
            <a:path>
              <a:moveTo>
                <a:pt x="2702294" y="0"/>
              </a:moveTo>
              <a:lnTo>
                <a:pt x="2702294" y="234496"/>
              </a:lnTo>
              <a:lnTo>
                <a:pt x="0" y="234496"/>
              </a:lnTo>
              <a:lnTo>
                <a:pt x="0" y="468993"/>
              </a:lnTo>
            </a:path>
          </a:pathLst>
        </a:custGeom>
        <a:noFill/>
        <a:ln w="12700" cap="flat" cmpd="sng" algn="ctr">
          <a:solidFill>
            <a:schemeClr val="accent5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DCD3CF-89B5-4168-9B8E-1618A47E873F}">
      <dsp:nvSpPr>
        <dsp:cNvPr id="0" name=""/>
        <dsp:cNvSpPr/>
      </dsp:nvSpPr>
      <dsp:spPr>
        <a:xfrm>
          <a:off x="4312518" y="1060"/>
          <a:ext cx="2233301" cy="111665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5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7145" tIns="17145" rIns="17145" bIns="17145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700" kern="1200"/>
            <a:t>Cell References</a:t>
          </a:r>
        </a:p>
      </dsp:txBody>
      <dsp:txXfrm>
        <a:off x="4312518" y="1060"/>
        <a:ext cx="2233301" cy="1116650"/>
      </dsp:txXfrm>
    </dsp:sp>
    <dsp:sp modelId="{CE90BD06-89BB-4CDA-A374-BB3940640745}">
      <dsp:nvSpPr>
        <dsp:cNvPr id="0" name=""/>
        <dsp:cNvSpPr/>
      </dsp:nvSpPr>
      <dsp:spPr>
        <a:xfrm>
          <a:off x="1610224" y="1586704"/>
          <a:ext cx="2233301" cy="111665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5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7145" tIns="17145" rIns="17145" bIns="17145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700" kern="1200"/>
            <a:t>Relative Cell References</a:t>
          </a:r>
        </a:p>
      </dsp:txBody>
      <dsp:txXfrm>
        <a:off x="1610224" y="1586704"/>
        <a:ext cx="2233301" cy="1116650"/>
      </dsp:txXfrm>
    </dsp:sp>
    <dsp:sp modelId="{309EBFCE-E693-4844-AA7E-BB9169382B4B}">
      <dsp:nvSpPr>
        <dsp:cNvPr id="0" name=""/>
        <dsp:cNvSpPr/>
      </dsp:nvSpPr>
      <dsp:spPr>
        <a:xfrm>
          <a:off x="2168549" y="3172348"/>
          <a:ext cx="2233301" cy="111665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5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7145" tIns="17145" rIns="17145" bIns="17145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700" kern="1200"/>
            <a:t>B4</a:t>
          </a:r>
        </a:p>
      </dsp:txBody>
      <dsp:txXfrm>
        <a:off x="2168549" y="3172348"/>
        <a:ext cx="2233301" cy="1116650"/>
      </dsp:txXfrm>
    </dsp:sp>
    <dsp:sp modelId="{A2305AEF-1C29-4D58-A60D-05D6D1928336}">
      <dsp:nvSpPr>
        <dsp:cNvPr id="0" name=""/>
        <dsp:cNvSpPr/>
      </dsp:nvSpPr>
      <dsp:spPr>
        <a:xfrm>
          <a:off x="4312518" y="1586704"/>
          <a:ext cx="2233301" cy="111665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5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7145" tIns="17145" rIns="17145" bIns="17145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700" kern="1200"/>
            <a:t>Absolute/Fixed Cell  References</a:t>
          </a:r>
        </a:p>
      </dsp:txBody>
      <dsp:txXfrm>
        <a:off x="4312518" y="1586704"/>
        <a:ext cx="2233301" cy="1116650"/>
      </dsp:txXfrm>
    </dsp:sp>
    <dsp:sp modelId="{429476AB-D0CA-47DF-AD7C-4EF2FFA257BE}">
      <dsp:nvSpPr>
        <dsp:cNvPr id="0" name=""/>
        <dsp:cNvSpPr/>
      </dsp:nvSpPr>
      <dsp:spPr>
        <a:xfrm>
          <a:off x="4870844" y="3172348"/>
          <a:ext cx="2233301" cy="111665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5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7145" tIns="17145" rIns="17145" bIns="17145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700" kern="1200"/>
            <a:t>$B$4</a:t>
          </a:r>
        </a:p>
      </dsp:txBody>
      <dsp:txXfrm>
        <a:off x="4870844" y="3172348"/>
        <a:ext cx="2233301" cy="1116650"/>
      </dsp:txXfrm>
    </dsp:sp>
    <dsp:sp modelId="{782F5A69-7C18-4A23-893B-BED0BBF32919}">
      <dsp:nvSpPr>
        <dsp:cNvPr id="0" name=""/>
        <dsp:cNvSpPr/>
      </dsp:nvSpPr>
      <dsp:spPr>
        <a:xfrm>
          <a:off x="7014813" y="1586704"/>
          <a:ext cx="2233301" cy="111665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5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7145" tIns="17145" rIns="17145" bIns="17145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700" kern="1200"/>
            <a:t>Mixed Cell References</a:t>
          </a:r>
        </a:p>
      </dsp:txBody>
      <dsp:txXfrm>
        <a:off x="7014813" y="1586704"/>
        <a:ext cx="2233301" cy="1116650"/>
      </dsp:txXfrm>
    </dsp:sp>
    <dsp:sp modelId="{1D67B6CF-542A-4DA5-9076-DF4251CB1643}">
      <dsp:nvSpPr>
        <dsp:cNvPr id="0" name=""/>
        <dsp:cNvSpPr/>
      </dsp:nvSpPr>
      <dsp:spPr>
        <a:xfrm>
          <a:off x="7573138" y="3172348"/>
          <a:ext cx="2233301" cy="1116650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5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7145" tIns="17145" rIns="17145" bIns="17145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2700" kern="1200"/>
            <a:t>$B4 OR B$4</a:t>
          </a:r>
        </a:p>
      </dsp:txBody>
      <dsp:txXfrm>
        <a:off x="7573138" y="3172348"/>
        <a:ext cx="2233301" cy="11166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0</xdr:row>
      <xdr:rowOff>114301</xdr:rowOff>
    </xdr:from>
    <xdr:to>
      <xdr:col>18</xdr:col>
      <xdr:colOff>510540</xdr:colOff>
      <xdr:row>24</xdr:row>
      <xdr:rowOff>15241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519E047-09C8-45E9-829B-263E7DFE6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A844C-1843-4801-B9E9-518EF5A3B746}" name="Table1" displayName="Table1" ref="D1:J11" totalsRowShown="0" headerRowDxfId="8" headerRowBorderDxfId="17" tableBorderDxfId="18" totalsRowBorderDxfId="16">
  <tableColumns count="7">
    <tableColumn id="1" xr3:uid="{7D3F37E4-B9DF-4EBD-BC59-5670ECF90124}" name="Department" dataDxfId="15"/>
    <tableColumn id="2" xr3:uid="{BB9EDE06-8195-4DB9-8361-0B2446DE9D07}" name="Region" dataDxfId="14"/>
    <tableColumn id="3" xr3:uid="{4CEDE95C-40AA-4349-9F77-90411749D6DD}" name="Branches" dataDxfId="13"/>
    <tableColumn id="4" xr3:uid="{7D3AE0A3-4877-457C-B63C-36E12BC9114E}" name="Date Hired" dataDxfId="12"/>
    <tableColumn id="5" xr3:uid="{893D6594-AA2A-444A-876F-A6AEA2156384}" name="Salary" dataDxfId="11" dataCellStyle="Comma"/>
    <tableColumn id="6" xr3:uid="{FBC8E362-638F-4877-9EAD-9E30C5330206}" name="Incentive" dataDxfId="10" dataCellStyle="Comma"/>
    <tableColumn id="7" xr3:uid="{088FDE81-1A70-4D9B-B8DA-CCFDB1ABF3DD}" name="Total Salary" dataDxfId="9" dataCellStyle="Comma">
      <calculatedColumnFormula>SUM(H2:I2)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0505A1-3A68-4BD8-B078-C6F3BE42B0AB}" name="Table2" displayName="Table2" ref="A1:C11" totalsRowShown="0" headerRowDxfId="0" headerRowBorderDxfId="5" tableBorderDxfId="6" totalsRowBorderDxfId="4">
  <tableColumns count="3">
    <tableColumn id="1" xr3:uid="{5E912F1B-8FEF-4918-9FAC-4E4AA4E0307D}" name="Emp ID" dataDxfId="3"/>
    <tableColumn id="2" xr3:uid="{640AF5D9-E4B6-43DE-83B5-02EBAE86B3FB}" name="First Name" dataDxfId="2"/>
    <tableColumn id="3" xr3:uid="{531761AB-1309-4A52-BB45-B63EDF8FAA5C}" name="Last 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DD67-C292-4629-86F4-39726A996A21}">
  <dimension ref="A1:D7"/>
  <sheetViews>
    <sheetView zoomScale="145" zoomScaleNormal="145" workbookViewId="0">
      <selection activeCell="G11" sqref="G11"/>
    </sheetView>
  </sheetViews>
  <sheetFormatPr defaultRowHeight="14.4" x14ac:dyDescent="0.3"/>
  <cols>
    <col min="4" max="4" width="8.88671875" style="10"/>
  </cols>
  <sheetData>
    <row r="1" spans="1:4" x14ac:dyDescent="0.3">
      <c r="D1" s="10" t="s">
        <v>66</v>
      </c>
    </row>
    <row r="7" spans="1:4" s="10" customFormat="1" x14ac:dyDescent="0.3">
      <c r="A7" s="10" t="s">
        <v>67</v>
      </c>
      <c r="D7" s="1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8F41-5417-46C2-BF29-F481C44B6BDE}">
  <dimension ref="A1:I1048576"/>
  <sheetViews>
    <sheetView zoomScale="220" zoomScaleNormal="220" workbookViewId="0">
      <selection activeCell="H4" sqref="H4"/>
    </sheetView>
  </sheetViews>
  <sheetFormatPr defaultRowHeight="14.4" x14ac:dyDescent="0.3"/>
  <sheetData>
    <row r="1" spans="1:9" x14ac:dyDescent="0.3">
      <c r="A1" s="11"/>
    </row>
    <row r="3" spans="1:9" x14ac:dyDescent="0.3">
      <c r="I3" s="14"/>
    </row>
    <row r="5" spans="1:9" ht="57.6" x14ac:dyDescent="0.3">
      <c r="F5" s="14" t="s">
        <v>71</v>
      </c>
    </row>
    <row r="1048576" spans="1:1" x14ac:dyDescent="0.3">
      <c r="A104857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BB70-E263-40CD-83A3-6FC491FC02C9}">
  <dimension ref="G8:M14"/>
  <sheetViews>
    <sheetView topLeftCell="D4" zoomScale="145" zoomScaleNormal="145" workbookViewId="0">
      <selection activeCell="K11" sqref="K11"/>
    </sheetView>
  </sheetViews>
  <sheetFormatPr defaultRowHeight="14.4" x14ac:dyDescent="0.3"/>
  <cols>
    <col min="8" max="8" width="16.109375" customWidth="1"/>
    <col min="9" max="9" width="18.21875" customWidth="1"/>
    <col min="10" max="10" width="18" customWidth="1"/>
    <col min="11" max="11" width="34.6640625" customWidth="1"/>
  </cols>
  <sheetData>
    <row r="8" spans="7:13" ht="23.4" x14ac:dyDescent="0.45">
      <c r="G8" s="12"/>
      <c r="H8" s="12"/>
      <c r="I8" s="12"/>
      <c r="J8" s="12"/>
      <c r="K8" s="12"/>
      <c r="L8" s="12"/>
      <c r="M8" s="12"/>
    </row>
    <row r="9" spans="7:13" ht="23.4" x14ac:dyDescent="0.45">
      <c r="G9" s="12"/>
      <c r="H9" s="12"/>
      <c r="I9" s="12"/>
      <c r="J9" s="12"/>
      <c r="K9" s="12"/>
      <c r="L9" s="12"/>
      <c r="M9" s="12"/>
    </row>
    <row r="10" spans="7:13" ht="23.4" x14ac:dyDescent="0.45">
      <c r="G10" s="12"/>
      <c r="H10" s="12"/>
      <c r="I10" s="12"/>
      <c r="J10" s="12"/>
      <c r="K10" s="12"/>
      <c r="L10" s="12"/>
      <c r="M10" s="12"/>
    </row>
    <row r="11" spans="7:13" ht="23.4" x14ac:dyDescent="0.45">
      <c r="G11" s="12"/>
      <c r="H11" s="12" t="s">
        <v>69</v>
      </c>
      <c r="I11" s="12" t="s">
        <v>70</v>
      </c>
      <c r="J11" s="12">
        <v>20</v>
      </c>
      <c r="K11" s="13" t="str">
        <f>"17-07-2024"</f>
        <v>17-07-2024</v>
      </c>
      <c r="L11" s="12"/>
      <c r="M11" s="12"/>
    </row>
    <row r="12" spans="7:13" ht="23.4" x14ac:dyDescent="0.45">
      <c r="G12" s="12"/>
      <c r="H12" s="12"/>
      <c r="I12" s="12"/>
      <c r="J12" s="12"/>
      <c r="K12" s="12"/>
      <c r="L12" s="12"/>
      <c r="M12" s="12"/>
    </row>
    <row r="13" spans="7:13" ht="23.4" x14ac:dyDescent="0.45">
      <c r="G13" s="12"/>
      <c r="H13" s="12"/>
      <c r="I13" s="12"/>
      <c r="J13" s="12"/>
      <c r="K13" s="12"/>
      <c r="L13" s="12"/>
      <c r="M13" s="12"/>
    </row>
    <row r="14" spans="7:13" ht="23.4" x14ac:dyDescent="0.45">
      <c r="G14" s="12"/>
      <c r="H14" s="12"/>
      <c r="I14" s="12"/>
      <c r="J14" s="12"/>
      <c r="K14" s="12"/>
      <c r="L14" s="12"/>
      <c r="M1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71C4-9A5B-490C-B079-960917A2A5D8}">
  <dimension ref="A1:G32"/>
  <sheetViews>
    <sheetView topLeftCell="B1" zoomScale="160" zoomScaleNormal="160" workbookViewId="0">
      <selection activeCell="G4" sqref="G4"/>
    </sheetView>
  </sheetViews>
  <sheetFormatPr defaultRowHeight="14.4" x14ac:dyDescent="0.3"/>
  <cols>
    <col min="2" max="2" width="18.44140625" customWidth="1"/>
    <col min="3" max="3" width="23.5546875" customWidth="1"/>
    <col min="4" max="4" width="20.77734375" customWidth="1"/>
    <col min="5" max="5" width="16.88671875" customWidth="1"/>
    <col min="6" max="6" width="17.33203125" customWidth="1"/>
    <col min="7" max="7" width="14.109375" customWidth="1"/>
    <col min="8" max="8" width="10.33203125" bestFit="1" customWidth="1"/>
    <col min="9" max="9" width="10.33203125" customWidth="1"/>
    <col min="10" max="12" width="10.33203125" bestFit="1" customWidth="1"/>
  </cols>
  <sheetData>
    <row r="1" spans="1:7" x14ac:dyDescent="0.3">
      <c r="A1" t="s">
        <v>46</v>
      </c>
      <c r="B1" t="s">
        <v>45</v>
      </c>
      <c r="C1" t="s">
        <v>72</v>
      </c>
      <c r="D1" t="s">
        <v>79</v>
      </c>
      <c r="E1" t="s">
        <v>86</v>
      </c>
      <c r="F1" t="s">
        <v>52</v>
      </c>
      <c r="G1" s="16" t="s">
        <v>107</v>
      </c>
    </row>
    <row r="2" spans="1:7" x14ac:dyDescent="0.3">
      <c r="C2" t="s">
        <v>73</v>
      </c>
      <c r="D2" t="s">
        <v>80</v>
      </c>
      <c r="E2" t="s">
        <v>87</v>
      </c>
      <c r="F2" t="s">
        <v>53</v>
      </c>
      <c r="G2" s="16" t="s">
        <v>108</v>
      </c>
    </row>
    <row r="3" spans="1:7" x14ac:dyDescent="0.3">
      <c r="C3" t="s">
        <v>74</v>
      </c>
      <c r="D3" t="s">
        <v>81</v>
      </c>
      <c r="E3" t="s">
        <v>88</v>
      </c>
      <c r="F3" t="s">
        <v>98</v>
      </c>
      <c r="G3" s="16" t="s">
        <v>109</v>
      </c>
    </row>
    <row r="4" spans="1:7" x14ac:dyDescent="0.3">
      <c r="C4" t="s">
        <v>75</v>
      </c>
      <c r="D4" t="s">
        <v>82</v>
      </c>
      <c r="E4" t="s">
        <v>89</v>
      </c>
      <c r="F4" t="s">
        <v>99</v>
      </c>
      <c r="G4" s="16" t="s">
        <v>107</v>
      </c>
    </row>
    <row r="5" spans="1:7" x14ac:dyDescent="0.3">
      <c r="C5" t="s">
        <v>76</v>
      </c>
      <c r="D5" t="s">
        <v>83</v>
      </c>
      <c r="E5" t="s">
        <v>90</v>
      </c>
      <c r="F5" t="s">
        <v>90</v>
      </c>
      <c r="G5" s="16" t="s">
        <v>108</v>
      </c>
    </row>
    <row r="6" spans="1:7" x14ac:dyDescent="0.3">
      <c r="C6" t="s">
        <v>77</v>
      </c>
      <c r="D6" t="s">
        <v>84</v>
      </c>
      <c r="E6" t="s">
        <v>91</v>
      </c>
      <c r="F6" t="s">
        <v>100</v>
      </c>
      <c r="G6" s="16" t="s">
        <v>109</v>
      </c>
    </row>
    <row r="7" spans="1:7" x14ac:dyDescent="0.3">
      <c r="C7" t="s">
        <v>78</v>
      </c>
      <c r="D7" t="s">
        <v>85</v>
      </c>
      <c r="E7" t="s">
        <v>92</v>
      </c>
      <c r="F7" t="s">
        <v>101</v>
      </c>
      <c r="G7" t="s">
        <v>107</v>
      </c>
    </row>
    <row r="8" spans="1:7" x14ac:dyDescent="0.3">
      <c r="E8" t="s">
        <v>93</v>
      </c>
      <c r="F8" t="s">
        <v>102</v>
      </c>
    </row>
    <row r="9" spans="1:7" x14ac:dyDescent="0.3">
      <c r="E9" t="s">
        <v>94</v>
      </c>
      <c r="F9" t="s">
        <v>103</v>
      </c>
    </row>
    <row r="10" spans="1:7" x14ac:dyDescent="0.3">
      <c r="E10" t="s">
        <v>95</v>
      </c>
      <c r="F10" t="s">
        <v>104</v>
      </c>
    </row>
    <row r="11" spans="1:7" x14ac:dyDescent="0.3">
      <c r="E11" t="s">
        <v>96</v>
      </c>
      <c r="F11" t="s">
        <v>105</v>
      </c>
    </row>
    <row r="12" spans="1:7" x14ac:dyDescent="0.3">
      <c r="E12" t="s">
        <v>97</v>
      </c>
      <c r="F12" t="s">
        <v>106</v>
      </c>
    </row>
    <row r="31" spans="3:3" x14ac:dyDescent="0.3">
      <c r="C31" s="15"/>
    </row>
    <row r="32" spans="3:3" x14ac:dyDescent="0.3">
      <c r="C32" s="15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C8D3-3901-4817-9FF9-4B91A8044137}">
  <dimension ref="A1:J26"/>
  <sheetViews>
    <sheetView topLeftCell="B16" zoomScale="95" zoomScaleNormal="130" workbookViewId="0">
      <selection sqref="A1:J1"/>
    </sheetView>
  </sheetViews>
  <sheetFormatPr defaultRowHeight="14.4" x14ac:dyDescent="0.3"/>
  <cols>
    <col min="1" max="1" width="18.88671875" customWidth="1"/>
    <col min="2" max="2" width="14.33203125" bestFit="1" customWidth="1"/>
    <col min="3" max="3" width="14.21875" bestFit="1" customWidth="1"/>
    <col min="4" max="4" width="15.5546875" bestFit="1" customWidth="1"/>
    <col min="5" max="5" width="11.21875" bestFit="1" customWidth="1"/>
    <col min="6" max="6" width="13.109375" bestFit="1" customWidth="1"/>
    <col min="7" max="7" width="17.109375" bestFit="1" customWidth="1"/>
    <col min="8" max="8" width="11.88671875" bestFit="1" customWidth="1"/>
    <col min="9" max="9" width="16.33203125" customWidth="1"/>
    <col min="10" max="10" width="16.6640625" customWidth="1"/>
  </cols>
  <sheetData>
    <row r="1" spans="1:10" ht="19.8" x14ac:dyDescent="0.4">
      <c r="A1" s="49" t="s">
        <v>110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7.399999999999999" x14ac:dyDescent="0.3">
      <c r="A2" s="17" t="s">
        <v>0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</v>
      </c>
      <c r="I2" s="17" t="s">
        <v>2</v>
      </c>
      <c r="J2" s="17" t="s">
        <v>3</v>
      </c>
    </row>
    <row r="3" spans="1:10" x14ac:dyDescent="0.3">
      <c r="A3" s="18">
        <v>1001</v>
      </c>
      <c r="B3" s="18" t="s">
        <v>4</v>
      </c>
      <c r="C3" s="18" t="s">
        <v>11</v>
      </c>
      <c r="D3" s="18" t="s">
        <v>12</v>
      </c>
      <c r="E3" s="24" t="s">
        <v>13</v>
      </c>
      <c r="F3" s="18" t="s">
        <v>14</v>
      </c>
      <c r="G3" s="23">
        <v>44927</v>
      </c>
      <c r="H3" s="22">
        <v>50000</v>
      </c>
      <c r="I3" s="26">
        <v>1809</v>
      </c>
      <c r="J3" s="25">
        <f>H3+I3</f>
        <v>51809</v>
      </c>
    </row>
    <row r="4" spans="1:10" x14ac:dyDescent="0.3">
      <c r="A4" s="18">
        <v>1002</v>
      </c>
      <c r="B4" s="18" t="s">
        <v>15</v>
      </c>
      <c r="C4" s="18" t="s">
        <v>16</v>
      </c>
      <c r="D4" s="18" t="s">
        <v>17</v>
      </c>
      <c r="E4" s="24" t="s">
        <v>18</v>
      </c>
      <c r="F4" s="18" t="s">
        <v>19</v>
      </c>
      <c r="G4" s="23">
        <v>44727</v>
      </c>
      <c r="H4" s="22">
        <v>45000</v>
      </c>
      <c r="I4" s="26">
        <v>1009</v>
      </c>
      <c r="J4" s="25">
        <f t="shared" ref="J4:J12" si="0">H4+I4</f>
        <v>46009</v>
      </c>
    </row>
    <row r="5" spans="1:10" x14ac:dyDescent="0.3">
      <c r="A5" s="18">
        <v>1003</v>
      </c>
      <c r="B5" s="18" t="s">
        <v>20</v>
      </c>
      <c r="C5" s="18" t="s">
        <v>21</v>
      </c>
      <c r="D5" s="18" t="s">
        <v>22</v>
      </c>
      <c r="E5" s="24" t="s">
        <v>23</v>
      </c>
      <c r="F5" s="18" t="s">
        <v>24</v>
      </c>
      <c r="G5" s="23">
        <v>45414</v>
      </c>
      <c r="H5" s="22">
        <v>60000</v>
      </c>
      <c r="I5" s="26">
        <v>1793</v>
      </c>
      <c r="J5" s="25">
        <f t="shared" si="0"/>
        <v>61793</v>
      </c>
    </row>
    <row r="6" spans="1:10" x14ac:dyDescent="0.3">
      <c r="A6" s="18">
        <v>1004</v>
      </c>
      <c r="B6" s="18" t="s">
        <v>25</v>
      </c>
      <c r="C6" s="18" t="s">
        <v>26</v>
      </c>
      <c r="D6" s="18" t="s">
        <v>27</v>
      </c>
      <c r="E6" s="24" t="s">
        <v>28</v>
      </c>
      <c r="F6" s="18" t="s">
        <v>29</v>
      </c>
      <c r="G6" s="23">
        <v>45219</v>
      </c>
      <c r="H6" s="22">
        <v>38000</v>
      </c>
      <c r="I6" s="26">
        <v>1611</v>
      </c>
      <c r="J6" s="25">
        <f t="shared" si="0"/>
        <v>39611</v>
      </c>
    </row>
    <row r="7" spans="1:10" x14ac:dyDescent="0.3">
      <c r="A7" s="18">
        <v>1005</v>
      </c>
      <c r="B7" s="18" t="s">
        <v>4</v>
      </c>
      <c r="C7" s="18" t="s">
        <v>11</v>
      </c>
      <c r="D7" s="18" t="s">
        <v>22</v>
      </c>
      <c r="E7" s="24" t="s">
        <v>18</v>
      </c>
      <c r="F7" s="18" t="s">
        <v>14</v>
      </c>
      <c r="G7" s="23">
        <v>44241</v>
      </c>
      <c r="H7" s="22">
        <v>42000</v>
      </c>
      <c r="I7" s="26">
        <v>1190</v>
      </c>
      <c r="J7" s="25">
        <f t="shared" si="0"/>
        <v>43190</v>
      </c>
    </row>
    <row r="8" spans="1:10" x14ac:dyDescent="0.3">
      <c r="A8" s="18">
        <v>1006</v>
      </c>
      <c r="B8" s="18" t="s">
        <v>30</v>
      </c>
      <c r="C8" s="18" t="s">
        <v>31</v>
      </c>
      <c r="D8" s="18" t="s">
        <v>32</v>
      </c>
      <c r="E8" s="24" t="s">
        <v>13</v>
      </c>
      <c r="F8" s="18" t="s">
        <v>19</v>
      </c>
      <c r="G8" s="23">
        <v>44920</v>
      </c>
      <c r="H8" s="22">
        <v>55000</v>
      </c>
      <c r="I8" s="26">
        <v>1460</v>
      </c>
      <c r="J8" s="25">
        <f t="shared" si="0"/>
        <v>56460</v>
      </c>
    </row>
    <row r="9" spans="1:10" x14ac:dyDescent="0.3">
      <c r="A9" s="18">
        <v>1007</v>
      </c>
      <c r="B9" s="18" t="s">
        <v>33</v>
      </c>
      <c r="C9" s="18" t="s">
        <v>34</v>
      </c>
      <c r="D9" s="18" t="s">
        <v>35</v>
      </c>
      <c r="E9" s="24" t="s">
        <v>18</v>
      </c>
      <c r="F9" s="18" t="s">
        <v>24</v>
      </c>
      <c r="G9" s="23">
        <v>45369</v>
      </c>
      <c r="H9" s="22">
        <v>35000</v>
      </c>
      <c r="I9" s="26">
        <v>1298</v>
      </c>
      <c r="J9" s="25">
        <f t="shared" si="0"/>
        <v>36298</v>
      </c>
    </row>
    <row r="10" spans="1:10" x14ac:dyDescent="0.3">
      <c r="A10" s="18">
        <v>1008</v>
      </c>
      <c r="B10" s="18" t="s">
        <v>36</v>
      </c>
      <c r="C10" s="18" t="s">
        <v>37</v>
      </c>
      <c r="D10" s="18" t="s">
        <v>38</v>
      </c>
      <c r="E10" s="24" t="s">
        <v>28</v>
      </c>
      <c r="F10" s="18" t="s">
        <v>29</v>
      </c>
      <c r="G10" s="23">
        <v>45023</v>
      </c>
      <c r="H10" s="22">
        <v>48000</v>
      </c>
      <c r="I10" s="26">
        <v>1232</v>
      </c>
      <c r="J10" s="25">
        <f t="shared" si="0"/>
        <v>49232</v>
      </c>
    </row>
    <row r="11" spans="1:10" x14ac:dyDescent="0.3">
      <c r="A11" s="18">
        <v>1009</v>
      </c>
      <c r="B11" s="18" t="s">
        <v>39</v>
      </c>
      <c r="C11" s="18" t="s">
        <v>40</v>
      </c>
      <c r="D11" s="18" t="s">
        <v>41</v>
      </c>
      <c r="E11" s="24" t="s">
        <v>23</v>
      </c>
      <c r="F11" s="18" t="s">
        <v>14</v>
      </c>
      <c r="G11" s="23">
        <v>44813</v>
      </c>
      <c r="H11" s="22">
        <v>52000</v>
      </c>
      <c r="I11" s="26">
        <v>1520</v>
      </c>
      <c r="J11" s="25">
        <f t="shared" si="0"/>
        <v>53520</v>
      </c>
    </row>
    <row r="12" spans="1:10" x14ac:dyDescent="0.3">
      <c r="A12" s="18">
        <v>1010</v>
      </c>
      <c r="B12" s="18" t="s">
        <v>42</v>
      </c>
      <c r="C12" s="18" t="s">
        <v>43</v>
      </c>
      <c r="D12" s="18" t="s">
        <v>44</v>
      </c>
      <c r="E12" s="24" t="s">
        <v>13</v>
      </c>
      <c r="F12" s="18" t="s">
        <v>19</v>
      </c>
      <c r="G12" s="23">
        <v>45488</v>
      </c>
      <c r="H12" s="22">
        <v>40000</v>
      </c>
      <c r="I12" s="26">
        <v>1128</v>
      </c>
      <c r="J12" s="25">
        <f t="shared" si="0"/>
        <v>41128</v>
      </c>
    </row>
    <row r="15" spans="1:10" ht="19.8" x14ac:dyDescent="0.4">
      <c r="A15" s="49" t="s">
        <v>110</v>
      </c>
      <c r="B15" s="49"/>
      <c r="C15" s="49"/>
      <c r="D15" s="49"/>
      <c r="E15" s="49"/>
      <c r="F15" s="49"/>
      <c r="G15" s="49"/>
      <c r="H15" s="49"/>
      <c r="I15" s="49"/>
      <c r="J15" s="49"/>
    </row>
    <row r="16" spans="1:10" ht="17.399999999999999" x14ac:dyDescent="0.3">
      <c r="A16" s="17" t="s">
        <v>0</v>
      </c>
      <c r="B16" s="17" t="s">
        <v>5</v>
      </c>
      <c r="C16" s="17" t="s">
        <v>6</v>
      </c>
      <c r="D16" s="17" t="s">
        <v>7</v>
      </c>
      <c r="E16" s="17" t="s">
        <v>8</v>
      </c>
      <c r="F16" s="17" t="s">
        <v>9</v>
      </c>
      <c r="G16" s="17" t="s">
        <v>10</v>
      </c>
      <c r="H16" s="17" t="s">
        <v>1</v>
      </c>
      <c r="I16" s="17" t="s">
        <v>2</v>
      </c>
      <c r="J16" s="17" t="s">
        <v>3</v>
      </c>
    </row>
    <row r="17" spans="1:10" x14ac:dyDescent="0.3">
      <c r="A17" s="18">
        <v>1001</v>
      </c>
      <c r="B17" s="18" t="s">
        <v>4</v>
      </c>
      <c r="C17" s="18" t="s">
        <v>11</v>
      </c>
      <c r="D17" s="18" t="s">
        <v>12</v>
      </c>
      <c r="E17" s="24" t="s">
        <v>13</v>
      </c>
      <c r="F17" s="18" t="s">
        <v>14</v>
      </c>
      <c r="G17" s="23">
        <v>44927</v>
      </c>
      <c r="H17" s="22">
        <v>50000</v>
      </c>
      <c r="I17" s="26">
        <v>1809</v>
      </c>
      <c r="J17" s="25">
        <f>H17+I17</f>
        <v>51809</v>
      </c>
    </row>
    <row r="18" spans="1:10" x14ac:dyDescent="0.3">
      <c r="A18" s="18">
        <v>1002</v>
      </c>
      <c r="B18" s="18" t="s">
        <v>15</v>
      </c>
      <c r="C18" s="18" t="s">
        <v>16</v>
      </c>
      <c r="D18" s="18" t="s">
        <v>17</v>
      </c>
      <c r="E18" s="24" t="s">
        <v>18</v>
      </c>
      <c r="F18" s="18" t="s">
        <v>19</v>
      </c>
      <c r="G18" s="23">
        <v>44727</v>
      </c>
      <c r="H18" s="22">
        <v>45000</v>
      </c>
      <c r="I18" s="26">
        <v>1009</v>
      </c>
      <c r="J18" s="25">
        <f t="shared" ref="J18:J26" si="1">H18+I18</f>
        <v>46009</v>
      </c>
    </row>
    <row r="19" spans="1:10" x14ac:dyDescent="0.3">
      <c r="A19" s="18">
        <v>1003</v>
      </c>
      <c r="B19" s="18" t="s">
        <v>20</v>
      </c>
      <c r="C19" s="18" t="s">
        <v>21</v>
      </c>
      <c r="D19" s="18" t="s">
        <v>22</v>
      </c>
      <c r="E19" s="24" t="s">
        <v>23</v>
      </c>
      <c r="F19" s="18" t="s">
        <v>24</v>
      </c>
      <c r="G19" s="23">
        <v>45414</v>
      </c>
      <c r="H19" s="22">
        <v>60000</v>
      </c>
      <c r="I19" s="26">
        <v>1793</v>
      </c>
      <c r="J19" s="25">
        <f t="shared" si="1"/>
        <v>61793</v>
      </c>
    </row>
    <row r="20" spans="1:10" x14ac:dyDescent="0.3">
      <c r="A20" s="18">
        <v>1004</v>
      </c>
      <c r="B20" s="18" t="s">
        <v>25</v>
      </c>
      <c r="C20" s="18" t="s">
        <v>26</v>
      </c>
      <c r="D20" s="18" t="s">
        <v>27</v>
      </c>
      <c r="E20" s="24" t="s">
        <v>28</v>
      </c>
      <c r="F20" s="18" t="s">
        <v>29</v>
      </c>
      <c r="G20" s="23">
        <v>45219</v>
      </c>
      <c r="H20" s="22">
        <v>38000</v>
      </c>
      <c r="I20" s="26">
        <v>1611</v>
      </c>
      <c r="J20" s="25">
        <f t="shared" si="1"/>
        <v>39611</v>
      </c>
    </row>
    <row r="21" spans="1:10" x14ac:dyDescent="0.3">
      <c r="A21" s="18">
        <v>1005</v>
      </c>
      <c r="B21" s="18" t="s">
        <v>4</v>
      </c>
      <c r="C21" s="18" t="s">
        <v>11</v>
      </c>
      <c r="D21" s="18" t="s">
        <v>22</v>
      </c>
      <c r="E21" s="24" t="s">
        <v>18</v>
      </c>
      <c r="F21" s="18" t="s">
        <v>14</v>
      </c>
      <c r="G21" s="23">
        <v>44241</v>
      </c>
      <c r="H21" s="22">
        <v>42000</v>
      </c>
      <c r="I21" s="26">
        <v>1190</v>
      </c>
      <c r="J21" s="25">
        <f t="shared" si="1"/>
        <v>43190</v>
      </c>
    </row>
    <row r="22" spans="1:10" x14ac:dyDescent="0.3">
      <c r="A22" s="18">
        <v>1006</v>
      </c>
      <c r="B22" s="18" t="s">
        <v>30</v>
      </c>
      <c r="C22" s="18" t="s">
        <v>31</v>
      </c>
      <c r="D22" s="18" t="s">
        <v>32</v>
      </c>
      <c r="E22" s="24" t="s">
        <v>13</v>
      </c>
      <c r="F22" s="18" t="s">
        <v>19</v>
      </c>
      <c r="G22" s="23">
        <v>44920</v>
      </c>
      <c r="H22" s="22">
        <v>55000</v>
      </c>
      <c r="I22" s="26">
        <v>1460</v>
      </c>
      <c r="J22" s="25">
        <f t="shared" si="1"/>
        <v>56460</v>
      </c>
    </row>
    <row r="23" spans="1:10" x14ac:dyDescent="0.3">
      <c r="A23" s="18">
        <v>1007</v>
      </c>
      <c r="B23" s="18" t="s">
        <v>33</v>
      </c>
      <c r="C23" s="18" t="s">
        <v>34</v>
      </c>
      <c r="D23" s="18" t="s">
        <v>35</v>
      </c>
      <c r="E23" s="24" t="s">
        <v>18</v>
      </c>
      <c r="F23" s="18" t="s">
        <v>24</v>
      </c>
      <c r="G23" s="23">
        <v>45369</v>
      </c>
      <c r="H23" s="22">
        <v>35000</v>
      </c>
      <c r="I23" s="26">
        <v>1298</v>
      </c>
      <c r="J23" s="25">
        <f t="shared" si="1"/>
        <v>36298</v>
      </c>
    </row>
    <row r="24" spans="1:10" x14ac:dyDescent="0.3">
      <c r="A24" s="18">
        <v>1008</v>
      </c>
      <c r="B24" s="18" t="s">
        <v>36</v>
      </c>
      <c r="C24" s="18" t="s">
        <v>37</v>
      </c>
      <c r="D24" s="18" t="s">
        <v>38</v>
      </c>
      <c r="E24" s="24" t="s">
        <v>28</v>
      </c>
      <c r="F24" s="18" t="s">
        <v>29</v>
      </c>
      <c r="G24" s="23">
        <v>45023</v>
      </c>
      <c r="H24" s="22">
        <v>48000</v>
      </c>
      <c r="I24" s="26">
        <v>1232</v>
      </c>
      <c r="J24" s="25">
        <f t="shared" si="1"/>
        <v>49232</v>
      </c>
    </row>
    <row r="25" spans="1:10" x14ac:dyDescent="0.3">
      <c r="A25" s="18">
        <v>1009</v>
      </c>
      <c r="B25" s="18" t="s">
        <v>39</v>
      </c>
      <c r="C25" s="18" t="s">
        <v>40</v>
      </c>
      <c r="D25" s="18" t="s">
        <v>41</v>
      </c>
      <c r="E25" s="24" t="s">
        <v>23</v>
      </c>
      <c r="F25" s="18" t="s">
        <v>14</v>
      </c>
      <c r="G25" s="23">
        <v>44813</v>
      </c>
      <c r="H25" s="22">
        <v>52000</v>
      </c>
      <c r="I25" s="26">
        <v>1520</v>
      </c>
      <c r="J25" s="25">
        <f t="shared" si="1"/>
        <v>53520</v>
      </c>
    </row>
    <row r="26" spans="1:10" x14ac:dyDescent="0.3">
      <c r="A26" s="18">
        <v>1010</v>
      </c>
      <c r="B26" s="18" t="s">
        <v>42</v>
      </c>
      <c r="C26" s="18" t="s">
        <v>43</v>
      </c>
      <c r="D26" s="18" t="s">
        <v>44</v>
      </c>
      <c r="E26" s="24" t="s">
        <v>13</v>
      </c>
      <c r="F26" s="18" t="s">
        <v>19</v>
      </c>
      <c r="G26" s="23">
        <v>45488</v>
      </c>
      <c r="H26" s="22">
        <v>40000</v>
      </c>
      <c r="I26" s="26">
        <v>1128</v>
      </c>
      <c r="J26" s="25">
        <f t="shared" si="1"/>
        <v>41128</v>
      </c>
    </row>
  </sheetData>
  <mergeCells count="2">
    <mergeCell ref="A1:J1"/>
    <mergeCell ref="A15:J15"/>
  </mergeCells>
  <conditionalFormatting sqref="J3:J12">
    <cfRule type="cellIs" dxfId="19" priority="4" operator="greaterThan">
      <formula>50000</formula>
    </cfRule>
  </conditionalFormatting>
  <conditionalFormatting sqref="J17:J26">
    <cfRule type="cellIs" dxfId="7" priority="1" operator="greaterThan">
      <formula>50000</formula>
    </cfRule>
  </conditionalFormatting>
  <dataValidations count="1">
    <dataValidation type="list" allowBlank="1" showInputMessage="1" showErrorMessage="1" sqref="F2:F14 F16:F1048576" xr:uid="{E7E3F34C-268C-4500-8E2B-CA45277DD9F6}">
      <formula1>"California,New York,Illinoise,Florida"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8E15-63E8-4CB0-9468-EF097715A727}">
  <dimension ref="A1:J11"/>
  <sheetViews>
    <sheetView zoomScale="130" zoomScaleNormal="130" workbookViewId="0">
      <selection activeCell="F2" sqref="F2"/>
    </sheetView>
  </sheetViews>
  <sheetFormatPr defaultRowHeight="14.4" x14ac:dyDescent="0.3"/>
  <cols>
    <col min="1" max="1" width="18.88671875" customWidth="1"/>
    <col min="2" max="2" width="14.33203125" bestFit="1" customWidth="1"/>
    <col min="3" max="3" width="14.21875" bestFit="1" customWidth="1"/>
    <col min="4" max="4" width="15.5546875" bestFit="1" customWidth="1"/>
    <col min="5" max="5" width="11.21875" bestFit="1" customWidth="1"/>
    <col min="6" max="6" width="13.109375" bestFit="1" customWidth="1"/>
    <col min="7" max="7" width="14.21875" bestFit="1" customWidth="1"/>
    <col min="8" max="8" width="11.88671875" bestFit="1" customWidth="1"/>
    <col min="9" max="9" width="10.5546875" customWidth="1"/>
    <col min="10" max="10" width="16.6640625" customWidth="1"/>
  </cols>
  <sheetData>
    <row r="1" spans="1:10" x14ac:dyDescent="0.3">
      <c r="A1" s="48" t="s">
        <v>0</v>
      </c>
      <c r="B1" s="48" t="s">
        <v>5</v>
      </c>
      <c r="C1" s="48" t="s">
        <v>6</v>
      </c>
      <c r="D1" s="48" t="s">
        <v>7</v>
      </c>
      <c r="E1" s="48" t="s">
        <v>8</v>
      </c>
      <c r="F1" s="48" t="s">
        <v>9</v>
      </c>
      <c r="G1" s="48" t="s">
        <v>10</v>
      </c>
      <c r="H1" s="48" t="s">
        <v>1</v>
      </c>
      <c r="I1" s="48" t="s">
        <v>2</v>
      </c>
      <c r="J1" s="48" t="s">
        <v>3</v>
      </c>
    </row>
    <row r="2" spans="1:10" x14ac:dyDescent="0.3">
      <c r="A2" s="18">
        <v>1001</v>
      </c>
      <c r="B2" s="47" t="s">
        <v>4</v>
      </c>
      <c r="C2" s="47" t="s">
        <v>11</v>
      </c>
      <c r="D2" s="47" t="s">
        <v>12</v>
      </c>
      <c r="E2" s="47" t="s">
        <v>13</v>
      </c>
      <c r="F2" s="47" t="s">
        <v>113</v>
      </c>
      <c r="G2" s="19">
        <v>44927</v>
      </c>
      <c r="H2" s="20">
        <v>50000</v>
      </c>
      <c r="I2" s="20">
        <v>1809</v>
      </c>
      <c r="J2" s="21">
        <f>SUM(H2:I2)</f>
        <v>51809</v>
      </c>
    </row>
    <row r="3" spans="1:10" x14ac:dyDescent="0.3">
      <c r="A3" s="18">
        <v>1002</v>
      </c>
      <c r="B3" s="47" t="s">
        <v>15</v>
      </c>
      <c r="C3" s="47" t="s">
        <v>16</v>
      </c>
      <c r="D3" s="47" t="s">
        <v>17</v>
      </c>
      <c r="E3" s="47" t="s">
        <v>18</v>
      </c>
      <c r="F3" s="47" t="s">
        <v>19</v>
      </c>
      <c r="G3" s="19">
        <v>44727</v>
      </c>
      <c r="H3" s="20">
        <v>45000</v>
      </c>
      <c r="I3" s="20">
        <v>1009</v>
      </c>
      <c r="J3" s="21">
        <f t="shared" ref="J3:J11" si="0">SUM(H3:I3)</f>
        <v>46009</v>
      </c>
    </row>
    <row r="4" spans="1:10" x14ac:dyDescent="0.3">
      <c r="A4" s="18">
        <v>1003</v>
      </c>
      <c r="B4" s="47" t="s">
        <v>20</v>
      </c>
      <c r="C4" s="47" t="s">
        <v>21</v>
      </c>
      <c r="D4" s="47" t="s">
        <v>22</v>
      </c>
      <c r="E4" s="47" t="s">
        <v>23</v>
      </c>
      <c r="F4" s="47" t="s">
        <v>24</v>
      </c>
      <c r="G4" s="19">
        <v>45414</v>
      </c>
      <c r="H4" s="20">
        <v>60000</v>
      </c>
      <c r="I4" s="20">
        <v>1793</v>
      </c>
      <c r="J4" s="21">
        <f t="shared" si="0"/>
        <v>61793</v>
      </c>
    </row>
    <row r="5" spans="1:10" x14ac:dyDescent="0.3">
      <c r="A5" s="18">
        <v>1004</v>
      </c>
      <c r="B5" s="47" t="s">
        <v>25</v>
      </c>
      <c r="C5" s="47" t="s">
        <v>26</v>
      </c>
      <c r="D5" s="47" t="s">
        <v>27</v>
      </c>
      <c r="E5" s="47" t="s">
        <v>28</v>
      </c>
      <c r="F5" s="47" t="s">
        <v>29</v>
      </c>
      <c r="G5" s="19">
        <v>45219</v>
      </c>
      <c r="H5" s="20">
        <v>38000</v>
      </c>
      <c r="I5" s="20">
        <v>1611</v>
      </c>
      <c r="J5" s="21">
        <f t="shared" si="0"/>
        <v>39611</v>
      </c>
    </row>
    <row r="6" spans="1:10" x14ac:dyDescent="0.3">
      <c r="A6" s="18">
        <v>1005</v>
      </c>
      <c r="B6" s="47" t="s">
        <v>4</v>
      </c>
      <c r="C6" s="47" t="s">
        <v>11</v>
      </c>
      <c r="D6" s="47" t="s">
        <v>22</v>
      </c>
      <c r="E6" s="47" t="s">
        <v>18</v>
      </c>
      <c r="F6" s="47" t="s">
        <v>14</v>
      </c>
      <c r="G6" s="19">
        <v>44241</v>
      </c>
      <c r="H6" s="20">
        <v>42000</v>
      </c>
      <c r="I6" s="20">
        <v>1190</v>
      </c>
      <c r="J6" s="21">
        <f t="shared" si="0"/>
        <v>43190</v>
      </c>
    </row>
    <row r="7" spans="1:10" x14ac:dyDescent="0.3">
      <c r="A7" s="18">
        <v>1006</v>
      </c>
      <c r="B7" s="47" t="s">
        <v>30</v>
      </c>
      <c r="C7" s="47" t="s">
        <v>31</v>
      </c>
      <c r="D7" s="47" t="s">
        <v>32</v>
      </c>
      <c r="E7" s="47" t="s">
        <v>13</v>
      </c>
      <c r="F7" s="47" t="s">
        <v>19</v>
      </c>
      <c r="G7" s="19">
        <v>44920</v>
      </c>
      <c r="H7" s="20">
        <v>55000</v>
      </c>
      <c r="I7" s="20">
        <v>1460</v>
      </c>
      <c r="J7" s="21">
        <f t="shared" si="0"/>
        <v>56460</v>
      </c>
    </row>
    <row r="8" spans="1:10" x14ac:dyDescent="0.3">
      <c r="A8" s="18">
        <v>1007</v>
      </c>
      <c r="B8" s="47" t="s">
        <v>33</v>
      </c>
      <c r="C8" s="47" t="s">
        <v>34</v>
      </c>
      <c r="D8" s="47" t="s">
        <v>35</v>
      </c>
      <c r="E8" s="47" t="s">
        <v>18</v>
      </c>
      <c r="F8" s="47" t="s">
        <v>24</v>
      </c>
      <c r="G8" s="19">
        <v>45369</v>
      </c>
      <c r="H8" s="20">
        <v>35000</v>
      </c>
      <c r="I8" s="20">
        <v>1298</v>
      </c>
      <c r="J8" s="21">
        <f t="shared" si="0"/>
        <v>36298</v>
      </c>
    </row>
    <row r="9" spans="1:10" x14ac:dyDescent="0.3">
      <c r="A9" s="18">
        <v>1008</v>
      </c>
      <c r="B9" s="47" t="s">
        <v>36</v>
      </c>
      <c r="C9" s="47" t="s">
        <v>37</v>
      </c>
      <c r="D9" s="47" t="s">
        <v>38</v>
      </c>
      <c r="E9" s="47" t="s">
        <v>28</v>
      </c>
      <c r="F9" s="47" t="s">
        <v>29</v>
      </c>
      <c r="G9" s="19">
        <v>45023</v>
      </c>
      <c r="H9" s="20">
        <v>48000</v>
      </c>
      <c r="I9" s="20">
        <v>1232</v>
      </c>
      <c r="J9" s="21">
        <f t="shared" si="0"/>
        <v>49232</v>
      </c>
    </row>
    <row r="10" spans="1:10" x14ac:dyDescent="0.3">
      <c r="A10" s="18">
        <v>1009</v>
      </c>
      <c r="B10" s="47" t="s">
        <v>39</v>
      </c>
      <c r="C10" s="47" t="s">
        <v>40</v>
      </c>
      <c r="D10" s="47" t="s">
        <v>41</v>
      </c>
      <c r="E10" s="47" t="s">
        <v>23</v>
      </c>
      <c r="F10" s="47" t="s">
        <v>14</v>
      </c>
      <c r="G10" s="19">
        <v>44813</v>
      </c>
      <c r="H10" s="20">
        <v>52000</v>
      </c>
      <c r="I10" s="20">
        <v>1520</v>
      </c>
      <c r="J10" s="21">
        <f t="shared" si="0"/>
        <v>53520</v>
      </c>
    </row>
    <row r="11" spans="1:10" x14ac:dyDescent="0.3">
      <c r="A11" s="18">
        <v>1010</v>
      </c>
      <c r="B11" s="47" t="s">
        <v>42</v>
      </c>
      <c r="C11" s="47" t="s">
        <v>43</v>
      </c>
      <c r="D11" s="47" t="s">
        <v>44</v>
      </c>
      <c r="E11" s="47" t="s">
        <v>13</v>
      </c>
      <c r="F11" s="47" t="s">
        <v>19</v>
      </c>
      <c r="G11" s="19">
        <v>45488</v>
      </c>
      <c r="H11" s="20">
        <v>40000</v>
      </c>
      <c r="I11" s="20">
        <v>1128</v>
      </c>
      <c r="J11" s="21">
        <f t="shared" si="0"/>
        <v>41128</v>
      </c>
    </row>
  </sheetData>
  <conditionalFormatting sqref="J2:J11">
    <cfRule type="cellIs" dxfId="22" priority="1" operator="greaterThan">
      <formula>50000</formula>
    </cfRule>
  </conditionalFormatting>
  <dataValidations count="1">
    <dataValidation type="list" allowBlank="1" showInputMessage="1" showErrorMessage="1" sqref="F1:F11" xr:uid="{009102F3-E40A-4754-BEC8-2B2D75DF9A58}">
      <formula1>"California,New York,Illinoise,Florida"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1993-312F-4B13-BE01-1391A7D17C54}">
  <dimension ref="A1:J11"/>
  <sheetViews>
    <sheetView tabSelected="1" workbookViewId="0">
      <selection activeCell="F16" sqref="F16"/>
    </sheetView>
  </sheetViews>
  <sheetFormatPr defaultColWidth="18.77734375" defaultRowHeight="14.4" x14ac:dyDescent="0.3"/>
  <sheetData>
    <row r="1" spans="1:10" x14ac:dyDescent="0.3">
      <c r="A1" s="39" t="s">
        <v>0</v>
      </c>
      <c r="B1" s="40" t="s">
        <v>5</v>
      </c>
      <c r="C1" s="41" t="s">
        <v>6</v>
      </c>
      <c r="D1" s="39" t="s">
        <v>7</v>
      </c>
      <c r="E1" s="40" t="s">
        <v>8</v>
      </c>
      <c r="F1" s="40" t="s">
        <v>9</v>
      </c>
      <c r="G1" s="40" t="s">
        <v>10</v>
      </c>
      <c r="H1" s="40" t="s">
        <v>1</v>
      </c>
      <c r="I1" s="40" t="s">
        <v>2</v>
      </c>
      <c r="J1" s="41" t="s">
        <v>3</v>
      </c>
    </row>
    <row r="2" spans="1:10" x14ac:dyDescent="0.3">
      <c r="A2" s="37">
        <v>1001</v>
      </c>
      <c r="B2" s="18" t="s">
        <v>4</v>
      </c>
      <c r="C2" s="50" t="s">
        <v>11</v>
      </c>
      <c r="D2" s="37" t="s">
        <v>12</v>
      </c>
      <c r="E2" s="18" t="s">
        <v>13</v>
      </c>
      <c r="F2" s="18" t="s">
        <v>14</v>
      </c>
      <c r="G2" s="19">
        <v>44927</v>
      </c>
      <c r="H2" s="20">
        <v>50000</v>
      </c>
      <c r="I2" s="20">
        <v>1809</v>
      </c>
      <c r="J2" s="38">
        <f>SUM(H2:I2)</f>
        <v>51809</v>
      </c>
    </row>
    <row r="3" spans="1:10" x14ac:dyDescent="0.3">
      <c r="A3" s="37">
        <v>1002</v>
      </c>
      <c r="B3" s="18" t="s">
        <v>15</v>
      </c>
      <c r="C3" s="50" t="s">
        <v>16</v>
      </c>
      <c r="D3" s="37" t="s">
        <v>17</v>
      </c>
      <c r="E3" s="18" t="s">
        <v>18</v>
      </c>
      <c r="F3" s="18" t="s">
        <v>19</v>
      </c>
      <c r="G3" s="19">
        <v>44727</v>
      </c>
      <c r="H3" s="20">
        <v>45000</v>
      </c>
      <c r="I3" s="20">
        <v>1009</v>
      </c>
      <c r="J3" s="38">
        <f t="shared" ref="J3:J11" si="0">SUM(H3:I3)</f>
        <v>46009</v>
      </c>
    </row>
    <row r="4" spans="1:10" x14ac:dyDescent="0.3">
      <c r="A4" s="37">
        <v>1003</v>
      </c>
      <c r="B4" s="18" t="s">
        <v>20</v>
      </c>
      <c r="C4" s="50" t="s">
        <v>21</v>
      </c>
      <c r="D4" s="37" t="s">
        <v>22</v>
      </c>
      <c r="E4" s="18" t="s">
        <v>23</v>
      </c>
      <c r="F4" s="18" t="s">
        <v>24</v>
      </c>
      <c r="G4" s="19">
        <v>45414</v>
      </c>
      <c r="H4" s="20">
        <v>60000</v>
      </c>
      <c r="I4" s="20">
        <v>1793</v>
      </c>
      <c r="J4" s="38">
        <f t="shared" si="0"/>
        <v>61793</v>
      </c>
    </row>
    <row r="5" spans="1:10" x14ac:dyDescent="0.3">
      <c r="A5" s="37">
        <v>1004</v>
      </c>
      <c r="B5" s="18" t="s">
        <v>25</v>
      </c>
      <c r="C5" s="50" t="s">
        <v>26</v>
      </c>
      <c r="D5" s="37" t="s">
        <v>27</v>
      </c>
      <c r="E5" s="18" t="s">
        <v>28</v>
      </c>
      <c r="F5" s="18" t="s">
        <v>29</v>
      </c>
      <c r="G5" s="19">
        <v>45219</v>
      </c>
      <c r="H5" s="20">
        <v>38000</v>
      </c>
      <c r="I5" s="20">
        <v>1611</v>
      </c>
      <c r="J5" s="38">
        <f t="shared" si="0"/>
        <v>39611</v>
      </c>
    </row>
    <row r="6" spans="1:10" x14ac:dyDescent="0.3">
      <c r="A6" s="37">
        <v>1005</v>
      </c>
      <c r="B6" s="18" t="s">
        <v>4</v>
      </c>
      <c r="C6" s="50" t="s">
        <v>11</v>
      </c>
      <c r="D6" s="37" t="s">
        <v>22</v>
      </c>
      <c r="E6" s="18" t="s">
        <v>18</v>
      </c>
      <c r="F6" s="18" t="s">
        <v>14</v>
      </c>
      <c r="G6" s="19">
        <v>44241</v>
      </c>
      <c r="H6" s="20">
        <v>42000</v>
      </c>
      <c r="I6" s="20">
        <v>1190</v>
      </c>
      <c r="J6" s="38">
        <f t="shared" si="0"/>
        <v>43190</v>
      </c>
    </row>
    <row r="7" spans="1:10" x14ac:dyDescent="0.3">
      <c r="A7" s="37">
        <v>1006</v>
      </c>
      <c r="B7" s="18" t="s">
        <v>30</v>
      </c>
      <c r="C7" s="50" t="s">
        <v>31</v>
      </c>
      <c r="D7" s="37" t="s">
        <v>32</v>
      </c>
      <c r="E7" s="18" t="s">
        <v>13</v>
      </c>
      <c r="F7" s="18" t="s">
        <v>19</v>
      </c>
      <c r="G7" s="19">
        <v>44920</v>
      </c>
      <c r="H7" s="20">
        <v>55000</v>
      </c>
      <c r="I7" s="20">
        <v>1460</v>
      </c>
      <c r="J7" s="38">
        <f t="shared" si="0"/>
        <v>56460</v>
      </c>
    </row>
    <row r="8" spans="1:10" x14ac:dyDescent="0.3">
      <c r="A8" s="37">
        <v>1007</v>
      </c>
      <c r="B8" s="18" t="s">
        <v>33</v>
      </c>
      <c r="C8" s="50" t="s">
        <v>34</v>
      </c>
      <c r="D8" s="37" t="s">
        <v>35</v>
      </c>
      <c r="E8" s="18" t="s">
        <v>18</v>
      </c>
      <c r="F8" s="18" t="s">
        <v>24</v>
      </c>
      <c r="G8" s="19">
        <v>45369</v>
      </c>
      <c r="H8" s="20">
        <v>35000</v>
      </c>
      <c r="I8" s="20">
        <v>1298</v>
      </c>
      <c r="J8" s="38">
        <f t="shared" si="0"/>
        <v>36298</v>
      </c>
    </row>
    <row r="9" spans="1:10" x14ac:dyDescent="0.3">
      <c r="A9" s="37">
        <v>1008</v>
      </c>
      <c r="B9" s="18" t="s">
        <v>36</v>
      </c>
      <c r="C9" s="50" t="s">
        <v>37</v>
      </c>
      <c r="D9" s="37" t="s">
        <v>38</v>
      </c>
      <c r="E9" s="18" t="s">
        <v>28</v>
      </c>
      <c r="F9" s="18" t="s">
        <v>29</v>
      </c>
      <c r="G9" s="19">
        <v>45023</v>
      </c>
      <c r="H9" s="20">
        <v>48000</v>
      </c>
      <c r="I9" s="20">
        <v>1232</v>
      </c>
      <c r="J9" s="38">
        <f t="shared" si="0"/>
        <v>49232</v>
      </c>
    </row>
    <row r="10" spans="1:10" x14ac:dyDescent="0.3">
      <c r="A10" s="37">
        <v>1009</v>
      </c>
      <c r="B10" s="18" t="s">
        <v>39</v>
      </c>
      <c r="C10" s="50" t="s">
        <v>40</v>
      </c>
      <c r="D10" s="37" t="s">
        <v>41</v>
      </c>
      <c r="E10" s="18" t="s">
        <v>23</v>
      </c>
      <c r="F10" s="18" t="s">
        <v>14</v>
      </c>
      <c r="G10" s="19">
        <v>44813</v>
      </c>
      <c r="H10" s="20">
        <v>52000</v>
      </c>
      <c r="I10" s="20">
        <v>1520</v>
      </c>
      <c r="J10" s="38">
        <f t="shared" si="0"/>
        <v>53520</v>
      </c>
    </row>
    <row r="11" spans="1:10" x14ac:dyDescent="0.3">
      <c r="A11" s="42">
        <v>1010</v>
      </c>
      <c r="B11" s="43" t="s">
        <v>42</v>
      </c>
      <c r="C11" s="51" t="s">
        <v>43</v>
      </c>
      <c r="D11" s="42" t="s">
        <v>44</v>
      </c>
      <c r="E11" s="43" t="s">
        <v>13</v>
      </c>
      <c r="F11" s="43" t="s">
        <v>19</v>
      </c>
      <c r="G11" s="44">
        <v>45488</v>
      </c>
      <c r="H11" s="45">
        <v>40000</v>
      </c>
      <c r="I11" s="45">
        <v>1128</v>
      </c>
      <c r="J11" s="46">
        <f t="shared" si="0"/>
        <v>41128</v>
      </c>
    </row>
  </sheetData>
  <conditionalFormatting sqref="J2:J11">
    <cfRule type="cellIs" dxfId="21" priority="1" operator="greaterThan">
      <formula>50000</formula>
    </cfRule>
  </conditionalFormatting>
  <dataValidations count="1">
    <dataValidation type="list" allowBlank="1" showInputMessage="1" showErrorMessage="1" sqref="F1:F11" xr:uid="{D0118332-A851-4F19-B21B-E9A4D51B8C7B}">
      <formula1>"California,New York,Illinoise,Florida"</formula1>
    </dataValidation>
  </dataValidations>
  <pageMargins left="0.7" right="0.7" top="0.75" bottom="0.75" header="0.3" footer="0.3"/>
  <legacy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FD8B-9DDD-48CE-8CAE-3F879D8AFB33}">
  <dimension ref="A1:J11"/>
  <sheetViews>
    <sheetView workbookViewId="0">
      <selection activeCell="H15" sqref="H15"/>
    </sheetView>
  </sheetViews>
  <sheetFormatPr defaultColWidth="18.77734375" defaultRowHeight="14.4" x14ac:dyDescent="0.3"/>
  <sheetData>
    <row r="1" spans="1:10" x14ac:dyDescent="0.3">
      <c r="A1" s="34" t="s">
        <v>0</v>
      </c>
      <c r="B1" s="34" t="s">
        <v>5</v>
      </c>
      <c r="C1" s="34" t="s">
        <v>6</v>
      </c>
      <c r="D1" s="34" t="s">
        <v>7</v>
      </c>
      <c r="E1" s="34" t="s">
        <v>8</v>
      </c>
      <c r="F1" s="34" t="s">
        <v>9</v>
      </c>
      <c r="G1" s="34" t="s">
        <v>10</v>
      </c>
      <c r="H1" s="34" t="s">
        <v>1</v>
      </c>
      <c r="I1" s="34" t="s">
        <v>2</v>
      </c>
      <c r="J1" s="34" t="s">
        <v>3</v>
      </c>
    </row>
    <row r="2" spans="1:10" x14ac:dyDescent="0.3">
      <c r="A2" s="18">
        <v>1001</v>
      </c>
      <c r="B2" s="35" t="s">
        <v>4</v>
      </c>
      <c r="C2" s="35" t="s">
        <v>11</v>
      </c>
      <c r="D2" s="35" t="s">
        <v>12</v>
      </c>
      <c r="E2" s="35" t="s">
        <v>13</v>
      </c>
      <c r="F2" s="35" t="s">
        <v>14</v>
      </c>
      <c r="G2" s="19">
        <v>44927</v>
      </c>
      <c r="H2" s="20">
        <v>50000</v>
      </c>
      <c r="I2" s="20">
        <v>1809</v>
      </c>
      <c r="J2" s="36">
        <f>SUM(H2:I2)</f>
        <v>51809</v>
      </c>
    </row>
    <row r="3" spans="1:10" x14ac:dyDescent="0.3">
      <c r="A3" s="18">
        <v>1002</v>
      </c>
      <c r="B3" s="35" t="s">
        <v>15</v>
      </c>
      <c r="C3" s="35" t="s">
        <v>16</v>
      </c>
      <c r="D3" s="35" t="s">
        <v>17</v>
      </c>
      <c r="E3" s="35" t="s">
        <v>18</v>
      </c>
      <c r="F3" s="35" t="s">
        <v>19</v>
      </c>
      <c r="G3" s="19">
        <v>44727</v>
      </c>
      <c r="H3" s="20">
        <v>45000</v>
      </c>
      <c r="I3" s="20">
        <v>1009</v>
      </c>
      <c r="J3" s="36">
        <f t="shared" ref="J3:J11" si="0">SUM(H3:I3)</f>
        <v>46009</v>
      </c>
    </row>
    <row r="4" spans="1:10" x14ac:dyDescent="0.3">
      <c r="A4" s="18">
        <v>1003</v>
      </c>
      <c r="B4" s="35" t="s">
        <v>20</v>
      </c>
      <c r="C4" s="35" t="s">
        <v>21</v>
      </c>
      <c r="D4" s="35" t="s">
        <v>22</v>
      </c>
      <c r="E4" s="35" t="s">
        <v>23</v>
      </c>
      <c r="F4" s="35" t="s">
        <v>24</v>
      </c>
      <c r="G4" s="19">
        <v>45414</v>
      </c>
      <c r="H4" s="20">
        <v>60000</v>
      </c>
      <c r="I4" s="20">
        <v>1793</v>
      </c>
      <c r="J4" s="36">
        <f t="shared" si="0"/>
        <v>61793</v>
      </c>
    </row>
    <row r="5" spans="1:10" x14ac:dyDescent="0.3">
      <c r="A5" s="18">
        <v>1004</v>
      </c>
      <c r="B5" s="35" t="s">
        <v>25</v>
      </c>
      <c r="C5" s="35" t="s">
        <v>26</v>
      </c>
      <c r="D5" s="35" t="s">
        <v>27</v>
      </c>
      <c r="E5" s="35" t="s">
        <v>28</v>
      </c>
      <c r="F5" s="35" t="s">
        <v>29</v>
      </c>
      <c r="G5" s="19">
        <v>45219</v>
      </c>
      <c r="H5" s="20">
        <v>38000</v>
      </c>
      <c r="I5" s="20">
        <v>1611</v>
      </c>
      <c r="J5" s="36">
        <f t="shared" si="0"/>
        <v>39611</v>
      </c>
    </row>
    <row r="6" spans="1:10" x14ac:dyDescent="0.3">
      <c r="A6" s="18">
        <v>1005</v>
      </c>
      <c r="B6" s="35" t="s">
        <v>4</v>
      </c>
      <c r="C6" s="35" t="s">
        <v>11</v>
      </c>
      <c r="D6" s="35" t="s">
        <v>22</v>
      </c>
      <c r="E6" s="35" t="s">
        <v>18</v>
      </c>
      <c r="F6" s="35" t="s">
        <v>14</v>
      </c>
      <c r="G6" s="19">
        <v>44241</v>
      </c>
      <c r="H6" s="20">
        <v>42000</v>
      </c>
      <c r="I6" s="20">
        <v>1190</v>
      </c>
      <c r="J6" s="36">
        <f t="shared" si="0"/>
        <v>43190</v>
      </c>
    </row>
    <row r="7" spans="1:10" x14ac:dyDescent="0.3">
      <c r="A7" s="18">
        <v>1006</v>
      </c>
      <c r="B7" s="35" t="s">
        <v>30</v>
      </c>
      <c r="C7" s="35" t="s">
        <v>31</v>
      </c>
      <c r="D7" s="35" t="s">
        <v>32</v>
      </c>
      <c r="E7" s="35" t="s">
        <v>13</v>
      </c>
      <c r="F7" s="35" t="s">
        <v>19</v>
      </c>
      <c r="G7" s="19">
        <v>44920</v>
      </c>
      <c r="H7" s="20">
        <v>55000</v>
      </c>
      <c r="I7" s="20">
        <v>1460</v>
      </c>
      <c r="J7" s="36">
        <f t="shared" si="0"/>
        <v>56460</v>
      </c>
    </row>
    <row r="8" spans="1:10" x14ac:dyDescent="0.3">
      <c r="A8" s="18">
        <v>1007</v>
      </c>
      <c r="B8" s="35" t="s">
        <v>33</v>
      </c>
      <c r="C8" s="35" t="s">
        <v>34</v>
      </c>
      <c r="D8" s="35" t="s">
        <v>35</v>
      </c>
      <c r="E8" s="35" t="s">
        <v>18</v>
      </c>
      <c r="F8" s="35" t="s">
        <v>24</v>
      </c>
      <c r="G8" s="19">
        <v>45369</v>
      </c>
      <c r="H8" s="20">
        <v>35000</v>
      </c>
      <c r="I8" s="20">
        <v>1298</v>
      </c>
      <c r="J8" s="36">
        <f t="shared" si="0"/>
        <v>36298</v>
      </c>
    </row>
    <row r="9" spans="1:10" x14ac:dyDescent="0.3">
      <c r="A9" s="18">
        <v>1008</v>
      </c>
      <c r="B9" s="35" t="s">
        <v>36</v>
      </c>
      <c r="C9" s="35" t="s">
        <v>37</v>
      </c>
      <c r="D9" s="35" t="s">
        <v>38</v>
      </c>
      <c r="E9" s="35" t="s">
        <v>28</v>
      </c>
      <c r="F9" s="35" t="s">
        <v>29</v>
      </c>
      <c r="G9" s="19">
        <v>45023</v>
      </c>
      <c r="H9" s="20">
        <v>48000</v>
      </c>
      <c r="I9" s="20">
        <v>1232</v>
      </c>
      <c r="J9" s="36">
        <f t="shared" si="0"/>
        <v>49232</v>
      </c>
    </row>
    <row r="10" spans="1:10" x14ac:dyDescent="0.3">
      <c r="A10" s="18">
        <v>1009</v>
      </c>
      <c r="B10" s="35" t="s">
        <v>39</v>
      </c>
      <c r="C10" s="35" t="s">
        <v>40</v>
      </c>
      <c r="D10" s="35" t="s">
        <v>41</v>
      </c>
      <c r="E10" s="35" t="s">
        <v>23</v>
      </c>
      <c r="F10" s="35" t="s">
        <v>14</v>
      </c>
      <c r="G10" s="19">
        <v>44813</v>
      </c>
      <c r="H10" s="20">
        <v>52000</v>
      </c>
      <c r="I10" s="20">
        <v>1520</v>
      </c>
      <c r="J10" s="36">
        <f t="shared" si="0"/>
        <v>53520</v>
      </c>
    </row>
    <row r="11" spans="1:10" x14ac:dyDescent="0.3">
      <c r="A11" s="18">
        <v>1010</v>
      </c>
      <c r="B11" s="35" t="s">
        <v>42</v>
      </c>
      <c r="C11" s="35" t="s">
        <v>43</v>
      </c>
      <c r="D11" s="35" t="s">
        <v>44</v>
      </c>
      <c r="E11" s="35" t="s">
        <v>13</v>
      </c>
      <c r="F11" s="35" t="s">
        <v>19</v>
      </c>
      <c r="G11" s="19">
        <v>45488</v>
      </c>
      <c r="H11" s="20">
        <v>40000</v>
      </c>
      <c r="I11" s="20">
        <v>1128</v>
      </c>
      <c r="J11" s="36">
        <f t="shared" si="0"/>
        <v>41128</v>
      </c>
    </row>
  </sheetData>
  <conditionalFormatting sqref="J2:J11">
    <cfRule type="cellIs" dxfId="20" priority="1" operator="greaterThan">
      <formula>50000</formula>
    </cfRule>
  </conditionalFormatting>
  <dataValidations count="1">
    <dataValidation type="list" allowBlank="1" showInputMessage="1" showErrorMessage="1" sqref="F1:F11" xr:uid="{7D1E3B9D-2BFA-4992-B3CD-F13B20FCDA4C}">
      <formula1>"California,New York,Illinoise,Florida"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B3AF-9F67-4CD5-8A54-ABC0F70CC5CA}">
  <dimension ref="A1"/>
  <sheetViews>
    <sheetView topLeftCell="F1" workbookViewId="0">
      <selection activeCell="O1" sqref="O1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F191-83BC-453B-94AD-380A03CCCCDF}">
  <dimension ref="B12"/>
  <sheetViews>
    <sheetView topLeftCell="A2" workbookViewId="0">
      <selection activeCell="M27" sqref="M27"/>
    </sheetView>
  </sheetViews>
  <sheetFormatPr defaultRowHeight="14.4" x14ac:dyDescent="0.3"/>
  <sheetData>
    <row r="12" spans="2:2" x14ac:dyDescent="0.3">
      <c r="B12" t="s">
        <v>47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CAA1-EFE3-498D-BD02-02F10DADC157}">
  <dimension ref="A1:D4"/>
  <sheetViews>
    <sheetView zoomScale="235" zoomScaleNormal="235" workbookViewId="0">
      <selection activeCell="D3" sqref="D3"/>
    </sheetView>
  </sheetViews>
  <sheetFormatPr defaultRowHeight="14.4" x14ac:dyDescent="0.3"/>
  <cols>
    <col min="1" max="1" width="11.88671875" customWidth="1"/>
    <col min="2" max="2" width="10.6640625" customWidth="1"/>
  </cols>
  <sheetData>
    <row r="1" spans="1:4" x14ac:dyDescent="0.3">
      <c r="A1" s="1" t="s">
        <v>48</v>
      </c>
      <c r="B1" s="2" t="s">
        <v>52</v>
      </c>
      <c r="C1" s="2" t="s">
        <v>53</v>
      </c>
      <c r="D1" s="2" t="s">
        <v>111</v>
      </c>
    </row>
    <row r="2" spans="1:4" x14ac:dyDescent="0.3">
      <c r="A2" s="1" t="s">
        <v>49</v>
      </c>
      <c r="B2" s="3">
        <v>1000</v>
      </c>
      <c r="C2" s="3">
        <v>1000</v>
      </c>
      <c r="D2">
        <f>SUM(B2:C2)</f>
        <v>2000</v>
      </c>
    </row>
    <row r="3" spans="1:4" x14ac:dyDescent="0.3">
      <c r="A3" s="1" t="s">
        <v>50</v>
      </c>
      <c r="B3" s="3">
        <v>100</v>
      </c>
      <c r="C3" s="3">
        <v>125</v>
      </c>
      <c r="D3">
        <f t="shared" ref="D3:D4" si="0">SUM(B3:C3)</f>
        <v>225</v>
      </c>
    </row>
    <row r="4" spans="1:4" x14ac:dyDescent="0.3">
      <c r="A4" s="1" t="s">
        <v>51</v>
      </c>
      <c r="B4" s="3">
        <v>150</v>
      </c>
      <c r="C4" s="3">
        <v>200</v>
      </c>
      <c r="D4">
        <f t="shared" si="0"/>
        <v>350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21CE-EDC9-4F30-9685-E8A9A84A3BA7}">
  <dimension ref="A1:D8"/>
  <sheetViews>
    <sheetView workbookViewId="0">
      <selection activeCell="D8" sqref="D8"/>
    </sheetView>
  </sheetViews>
  <sheetFormatPr defaultRowHeight="14.4" x14ac:dyDescent="0.3"/>
  <cols>
    <col min="1" max="1" width="32.5546875" bestFit="1" customWidth="1"/>
    <col min="2" max="2" width="43.33203125" bestFit="1" customWidth="1"/>
    <col min="3" max="3" width="29" bestFit="1" customWidth="1"/>
    <col min="4" max="4" width="90" bestFit="1" customWidth="1"/>
  </cols>
  <sheetData>
    <row r="1" spans="1:4" ht="31.2" x14ac:dyDescent="0.6">
      <c r="A1" s="4" t="s">
        <v>62</v>
      </c>
      <c r="B1" s="5">
        <v>500</v>
      </c>
      <c r="C1" s="4"/>
      <c r="D1" s="4"/>
    </row>
    <row r="4" spans="1:4" ht="30" x14ac:dyDescent="0.3">
      <c r="A4" s="6" t="s">
        <v>54</v>
      </c>
      <c r="B4" s="6" t="s">
        <v>55</v>
      </c>
      <c r="C4" s="7" t="s">
        <v>56</v>
      </c>
      <c r="D4" s="7" t="s">
        <v>57</v>
      </c>
    </row>
    <row r="5" spans="1:4" ht="25.8" x14ac:dyDescent="0.3">
      <c r="A5" s="8" t="s">
        <v>58</v>
      </c>
      <c r="B5" s="8">
        <v>2</v>
      </c>
      <c r="C5" s="9">
        <f>$B$1*B5</f>
        <v>1000</v>
      </c>
      <c r="D5" s="9" t="str">
        <f ca="1">_xlfn.FORMULATEXT(C5)</f>
        <v>=$B$1*B5</v>
      </c>
    </row>
    <row r="6" spans="1:4" ht="25.8" x14ac:dyDescent="0.3">
      <c r="A6" s="8" t="s">
        <v>59</v>
      </c>
      <c r="B6" s="8">
        <v>5</v>
      </c>
      <c r="C6" s="9">
        <f t="shared" ref="C6:C8" si="0">$B$1*B6</f>
        <v>2500</v>
      </c>
      <c r="D6" s="9" t="str">
        <f t="shared" ref="D6:D8" ca="1" si="1">_xlfn.FORMULATEXT(C6)</f>
        <v>=$B$1*B6</v>
      </c>
    </row>
    <row r="7" spans="1:4" ht="25.8" x14ac:dyDescent="0.3">
      <c r="A7" s="8" t="s">
        <v>60</v>
      </c>
      <c r="B7" s="8">
        <v>4</v>
      </c>
      <c r="C7" s="9">
        <f t="shared" si="0"/>
        <v>2000</v>
      </c>
      <c r="D7" s="9" t="str">
        <f t="shared" ca="1" si="1"/>
        <v>=$B$1*B7</v>
      </c>
    </row>
    <row r="8" spans="1:4" ht="25.8" x14ac:dyDescent="0.3">
      <c r="A8" s="8" t="s">
        <v>61</v>
      </c>
      <c r="B8" s="8">
        <v>3</v>
      </c>
      <c r="C8" s="9">
        <f t="shared" si="0"/>
        <v>1500</v>
      </c>
      <c r="D8" s="9" t="str">
        <f t="shared" ca="1" si="1"/>
        <v>=$B$1*B8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E2AE-4CEF-491E-B5AB-2FEE7F966DAC}">
  <dimension ref="A1:H8"/>
  <sheetViews>
    <sheetView zoomScale="220" zoomScaleNormal="220" workbookViewId="0">
      <selection activeCell="E5" sqref="E5"/>
    </sheetView>
  </sheetViews>
  <sheetFormatPr defaultRowHeight="14.4" x14ac:dyDescent="0.3"/>
  <cols>
    <col min="1" max="1" width="8.33203125" customWidth="1"/>
  </cols>
  <sheetData>
    <row r="1" spans="1:8" x14ac:dyDescent="0.3">
      <c r="B1" s="28" t="s">
        <v>63</v>
      </c>
      <c r="C1" s="28"/>
      <c r="D1" s="28"/>
      <c r="E1" s="28"/>
      <c r="F1" s="28"/>
      <c r="G1" s="28"/>
      <c r="H1" s="28"/>
    </row>
    <row r="2" spans="1:8" x14ac:dyDescent="0.3">
      <c r="B2" s="28" t="s">
        <v>64</v>
      </c>
      <c r="C2" s="28"/>
      <c r="D2" s="28"/>
      <c r="E2" s="28"/>
      <c r="F2" s="28"/>
      <c r="G2" s="28"/>
      <c r="H2" s="28"/>
    </row>
    <row r="3" spans="1:8" x14ac:dyDescent="0.3">
      <c r="A3" s="29" t="s">
        <v>65</v>
      </c>
      <c r="B3" s="27"/>
      <c r="C3" s="30">
        <v>1</v>
      </c>
      <c r="D3" s="30">
        <v>2</v>
      </c>
      <c r="E3" s="30">
        <v>3</v>
      </c>
      <c r="F3" s="30">
        <v>4</v>
      </c>
      <c r="G3" s="30">
        <v>5</v>
      </c>
      <c r="H3" s="30" t="s">
        <v>112</v>
      </c>
    </row>
    <row r="4" spans="1:8" x14ac:dyDescent="0.3">
      <c r="A4" s="29"/>
      <c r="B4" s="31">
        <v>10</v>
      </c>
      <c r="C4" s="32">
        <f>C$3*$B4</f>
        <v>10</v>
      </c>
      <c r="D4" s="32">
        <f t="shared" ref="D4:G4" si="0">D$3*$B4</f>
        <v>20</v>
      </c>
      <c r="E4" s="32">
        <f t="shared" si="0"/>
        <v>30</v>
      </c>
      <c r="F4" s="32">
        <f t="shared" si="0"/>
        <v>40</v>
      </c>
      <c r="G4" s="32">
        <f t="shared" si="0"/>
        <v>50</v>
      </c>
      <c r="H4" s="33" t="str">
        <f ca="1">_xlfn.FORMULATEXT(G4)</f>
        <v>=G$3*$B4</v>
      </c>
    </row>
    <row r="5" spans="1:8" x14ac:dyDescent="0.3">
      <c r="A5" s="29"/>
      <c r="B5" s="31">
        <v>20</v>
      </c>
      <c r="C5" s="32">
        <f t="shared" ref="C5:G8" si="1">C$3*$B5</f>
        <v>20</v>
      </c>
      <c r="D5" s="32">
        <f t="shared" si="1"/>
        <v>40</v>
      </c>
      <c r="E5" s="32">
        <f t="shared" si="1"/>
        <v>60</v>
      </c>
      <c r="F5" s="32">
        <f t="shared" si="1"/>
        <v>80</v>
      </c>
      <c r="G5" s="32">
        <f t="shared" si="1"/>
        <v>100</v>
      </c>
      <c r="H5" s="33" t="str">
        <f t="shared" ref="H5:H8" ca="1" si="2">_xlfn.FORMULATEXT(G5)</f>
        <v>=G$3*$B5</v>
      </c>
    </row>
    <row r="6" spans="1:8" x14ac:dyDescent="0.3">
      <c r="A6" s="29"/>
      <c r="B6" s="31">
        <v>30</v>
      </c>
      <c r="C6" s="32">
        <f t="shared" si="1"/>
        <v>30</v>
      </c>
      <c r="D6" s="32">
        <f t="shared" si="1"/>
        <v>60</v>
      </c>
      <c r="E6" s="32">
        <f t="shared" si="1"/>
        <v>90</v>
      </c>
      <c r="F6" s="32">
        <f t="shared" si="1"/>
        <v>120</v>
      </c>
      <c r="G6" s="32">
        <f t="shared" si="1"/>
        <v>150</v>
      </c>
      <c r="H6" s="33" t="str">
        <f t="shared" ca="1" si="2"/>
        <v>=G$3*$B6</v>
      </c>
    </row>
    <row r="7" spans="1:8" x14ac:dyDescent="0.3">
      <c r="A7" s="29"/>
      <c r="B7" s="31">
        <v>40</v>
      </c>
      <c r="C7" s="32">
        <f t="shared" si="1"/>
        <v>40</v>
      </c>
      <c r="D7" s="32">
        <f t="shared" si="1"/>
        <v>80</v>
      </c>
      <c r="E7" s="32">
        <f t="shared" si="1"/>
        <v>120</v>
      </c>
      <c r="F7" s="32">
        <f t="shared" si="1"/>
        <v>160</v>
      </c>
      <c r="G7" s="32">
        <f t="shared" si="1"/>
        <v>200</v>
      </c>
      <c r="H7" s="33" t="str">
        <f t="shared" ca="1" si="2"/>
        <v>=G$3*$B7</v>
      </c>
    </row>
    <row r="8" spans="1:8" x14ac:dyDescent="0.3">
      <c r="A8" s="29"/>
      <c r="B8" s="31">
        <v>50</v>
      </c>
      <c r="C8" s="32">
        <f t="shared" si="1"/>
        <v>50</v>
      </c>
      <c r="D8" s="32">
        <f t="shared" si="1"/>
        <v>100</v>
      </c>
      <c r="E8" s="32">
        <f t="shared" si="1"/>
        <v>150</v>
      </c>
      <c r="F8" s="32">
        <f t="shared" si="1"/>
        <v>200</v>
      </c>
      <c r="G8" s="32">
        <f t="shared" si="1"/>
        <v>250</v>
      </c>
      <c r="H8" s="33" t="str">
        <f t="shared" ca="1" si="2"/>
        <v>=G$3*$B8</v>
      </c>
    </row>
  </sheetData>
  <mergeCells count="3">
    <mergeCell ref="A3:A8"/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Interface Of Excel</vt:lpstr>
      <vt:lpstr>Row_column_cell</vt:lpstr>
      <vt:lpstr>Data Types</vt:lpstr>
      <vt:lpstr>Data Entry(Fill Series)</vt:lpstr>
      <vt:lpstr>Table</vt:lpstr>
      <vt:lpstr>Font Alignment Clipboard</vt:lpstr>
      <vt:lpstr>Find Select</vt:lpstr>
      <vt:lpstr>Paste Special</vt:lpstr>
      <vt:lpstr>Ctrl Enter</vt:lpstr>
      <vt:lpstr>Cell Referencing</vt:lpstr>
      <vt:lpstr>Relative CR</vt:lpstr>
      <vt:lpstr>Absolute CR </vt:lpstr>
      <vt:lpstr>Mixed Cell 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Mumbai</dc:creator>
  <cp:lastModifiedBy>akhilesh nishad</cp:lastModifiedBy>
  <dcterms:created xsi:type="dcterms:W3CDTF">2024-07-17T05:58:01Z</dcterms:created>
  <dcterms:modified xsi:type="dcterms:W3CDTF">2025-05-03T17:18:18Z</dcterms:modified>
</cp:coreProperties>
</file>