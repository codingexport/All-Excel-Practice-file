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khil\Downloads\"/>
    </mc:Choice>
  </mc:AlternateContent>
  <xr:revisionPtr revIDLastSave="0" documentId="13_ncr:1_{AD673B79-865E-44D4-A097-958F94BFADD1}" xr6:coauthVersionLast="47" xr6:coauthVersionMax="47" xr10:uidLastSave="{00000000-0000-0000-0000-000000000000}"/>
  <bookViews>
    <workbookView xWindow="-120" yWindow="-120" windowWidth="24240" windowHeight="13740" activeTab="1" xr2:uid="{00000000-000D-0000-FFFF-FFFF00000000}"/>
  </bookViews>
  <sheets>
    <sheet name="Lab Session_Description" sheetId="1" r:id="rId1"/>
    <sheet name="logical fns" sheetId="2" r:id="rId2"/>
  </sheets>
  <externalReferences>
    <externalReference r:id="rId3"/>
  </externalReferences>
  <definedNames>
    <definedName name="Department">'[1]DESC ANALYSIS'!$D$3:$D$102</definedName>
    <definedName name="Region">'[1]DESC ANALYSIS'!$E$3:$E$102</definedName>
    <definedName name="Salary">'[1]DESC ANALYSIS'!$H$3:$H$102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gfHAQgxY4SAuhT072KqpwE7YMQIA=="/>
    </ext>
  </extLst>
</workbook>
</file>

<file path=xl/calcChain.xml><?xml version="1.0" encoding="utf-8"?>
<calcChain xmlns="http://schemas.openxmlformats.org/spreadsheetml/2006/main">
  <c r="S4" i="2" l="1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M3" i="2"/>
  <c r="L3" i="2"/>
  <c r="K3" i="2"/>
  <c r="J3" i="2"/>
  <c r="J102" i="2"/>
  <c r="K102" i="2" s="1"/>
  <c r="I102" i="2"/>
  <c r="K101" i="2"/>
  <c r="J101" i="2"/>
  <c r="I101" i="2"/>
  <c r="J100" i="2"/>
  <c r="I100" i="2"/>
  <c r="K100" i="2" s="1"/>
  <c r="M100" i="2" s="1"/>
  <c r="J99" i="2"/>
  <c r="I99" i="2"/>
  <c r="K99" i="2" s="1"/>
  <c r="L99" i="2" s="1"/>
  <c r="J98" i="2"/>
  <c r="K98" i="2" s="1"/>
  <c r="I98" i="2"/>
  <c r="K97" i="2"/>
  <c r="J97" i="2"/>
  <c r="I97" i="2"/>
  <c r="J96" i="2"/>
  <c r="I96" i="2"/>
  <c r="K96" i="2" s="1"/>
  <c r="M96" i="2" s="1"/>
  <c r="M95" i="2"/>
  <c r="J95" i="2"/>
  <c r="I95" i="2"/>
  <c r="K95" i="2" s="1"/>
  <c r="L95" i="2" s="1"/>
  <c r="J94" i="2"/>
  <c r="K94" i="2" s="1"/>
  <c r="I94" i="2"/>
  <c r="K93" i="2"/>
  <c r="J93" i="2"/>
  <c r="I93" i="2"/>
  <c r="L92" i="2"/>
  <c r="J92" i="2"/>
  <c r="I92" i="2"/>
  <c r="K92" i="2" s="1"/>
  <c r="M92" i="2" s="1"/>
  <c r="M91" i="2"/>
  <c r="J91" i="2"/>
  <c r="I91" i="2"/>
  <c r="K91" i="2" s="1"/>
  <c r="L91" i="2" s="1"/>
  <c r="J90" i="2"/>
  <c r="K90" i="2" s="1"/>
  <c r="I90" i="2"/>
  <c r="K89" i="2"/>
  <c r="J89" i="2"/>
  <c r="I89" i="2"/>
  <c r="L88" i="2"/>
  <c r="J88" i="2"/>
  <c r="I88" i="2"/>
  <c r="K88" i="2" s="1"/>
  <c r="M88" i="2" s="1"/>
  <c r="J87" i="2"/>
  <c r="I87" i="2"/>
  <c r="K87" i="2" s="1"/>
  <c r="L87" i="2" s="1"/>
  <c r="J86" i="2"/>
  <c r="K86" i="2" s="1"/>
  <c r="I86" i="2"/>
  <c r="K85" i="2"/>
  <c r="J85" i="2"/>
  <c r="I85" i="2"/>
  <c r="J84" i="2"/>
  <c r="I84" i="2"/>
  <c r="K84" i="2" s="1"/>
  <c r="M84" i="2" s="1"/>
  <c r="J83" i="2"/>
  <c r="I83" i="2"/>
  <c r="K83" i="2" s="1"/>
  <c r="L83" i="2" s="1"/>
  <c r="J82" i="2"/>
  <c r="K82" i="2" s="1"/>
  <c r="I82" i="2"/>
  <c r="K81" i="2"/>
  <c r="J81" i="2"/>
  <c r="I81" i="2"/>
  <c r="J80" i="2"/>
  <c r="I80" i="2"/>
  <c r="K80" i="2" s="1"/>
  <c r="M80" i="2" s="1"/>
  <c r="M79" i="2"/>
  <c r="J79" i="2"/>
  <c r="I79" i="2"/>
  <c r="K79" i="2" s="1"/>
  <c r="L79" i="2" s="1"/>
  <c r="J78" i="2"/>
  <c r="K78" i="2" s="1"/>
  <c r="I78" i="2"/>
  <c r="K77" i="2"/>
  <c r="M77" i="2" s="1"/>
  <c r="J77" i="2"/>
  <c r="I77" i="2"/>
  <c r="J76" i="2"/>
  <c r="I76" i="2"/>
  <c r="K76" i="2" s="1"/>
  <c r="M76" i="2" s="1"/>
  <c r="J75" i="2"/>
  <c r="I75" i="2"/>
  <c r="K75" i="2" s="1"/>
  <c r="L75" i="2" s="1"/>
  <c r="K74" i="2"/>
  <c r="J74" i="2"/>
  <c r="I74" i="2"/>
  <c r="K73" i="2"/>
  <c r="M73" i="2" s="1"/>
  <c r="J73" i="2"/>
  <c r="I73" i="2"/>
  <c r="M72" i="2"/>
  <c r="L72" i="2"/>
  <c r="J72" i="2"/>
  <c r="I72" i="2"/>
  <c r="K72" i="2" s="1"/>
  <c r="J71" i="2"/>
  <c r="I71" i="2"/>
  <c r="J70" i="2"/>
  <c r="K70" i="2" s="1"/>
  <c r="I70" i="2"/>
  <c r="K69" i="2"/>
  <c r="M69" i="2" s="1"/>
  <c r="J69" i="2"/>
  <c r="I69" i="2"/>
  <c r="J68" i="2"/>
  <c r="I68" i="2"/>
  <c r="K68" i="2" s="1"/>
  <c r="M68" i="2" s="1"/>
  <c r="J67" i="2"/>
  <c r="I67" i="2"/>
  <c r="K67" i="2" s="1"/>
  <c r="L67" i="2" s="1"/>
  <c r="K66" i="2"/>
  <c r="J66" i="2"/>
  <c r="I66" i="2"/>
  <c r="K65" i="2"/>
  <c r="M65" i="2" s="1"/>
  <c r="J65" i="2"/>
  <c r="I65" i="2"/>
  <c r="M64" i="2"/>
  <c r="L64" i="2"/>
  <c r="J64" i="2"/>
  <c r="I64" i="2"/>
  <c r="K64" i="2" s="1"/>
  <c r="J63" i="2"/>
  <c r="I63" i="2"/>
  <c r="J62" i="2"/>
  <c r="K62" i="2" s="1"/>
  <c r="I62" i="2"/>
  <c r="K61" i="2"/>
  <c r="M61" i="2" s="1"/>
  <c r="J61" i="2"/>
  <c r="I61" i="2"/>
  <c r="J60" i="2"/>
  <c r="I60" i="2"/>
  <c r="K60" i="2" s="1"/>
  <c r="M60" i="2" s="1"/>
  <c r="J59" i="2"/>
  <c r="I59" i="2"/>
  <c r="K59" i="2" s="1"/>
  <c r="L59" i="2" s="1"/>
  <c r="K58" i="2"/>
  <c r="J58" i="2"/>
  <c r="I58" i="2"/>
  <c r="K57" i="2"/>
  <c r="M57" i="2" s="1"/>
  <c r="J57" i="2"/>
  <c r="I57" i="2"/>
  <c r="M56" i="2"/>
  <c r="L56" i="2"/>
  <c r="J56" i="2"/>
  <c r="I56" i="2"/>
  <c r="K56" i="2" s="1"/>
  <c r="J55" i="2"/>
  <c r="I55" i="2"/>
  <c r="J54" i="2"/>
  <c r="K54" i="2" s="1"/>
  <c r="I54" i="2"/>
  <c r="K53" i="2"/>
  <c r="M53" i="2" s="1"/>
  <c r="J53" i="2"/>
  <c r="I53" i="2"/>
  <c r="J52" i="2"/>
  <c r="I52" i="2"/>
  <c r="K52" i="2" s="1"/>
  <c r="M52" i="2" s="1"/>
  <c r="J51" i="2"/>
  <c r="I51" i="2"/>
  <c r="K51" i="2" s="1"/>
  <c r="L51" i="2" s="1"/>
  <c r="K50" i="2"/>
  <c r="J50" i="2"/>
  <c r="I50" i="2"/>
  <c r="K49" i="2"/>
  <c r="M49" i="2" s="1"/>
  <c r="J49" i="2"/>
  <c r="I49" i="2"/>
  <c r="M48" i="2"/>
  <c r="L48" i="2"/>
  <c r="J48" i="2"/>
  <c r="I48" i="2"/>
  <c r="K48" i="2" s="1"/>
  <c r="J47" i="2"/>
  <c r="I47" i="2"/>
  <c r="J46" i="2"/>
  <c r="K46" i="2" s="1"/>
  <c r="I46" i="2"/>
  <c r="K45" i="2"/>
  <c r="M45" i="2" s="1"/>
  <c r="J45" i="2"/>
  <c r="I45" i="2"/>
  <c r="J44" i="2"/>
  <c r="I44" i="2"/>
  <c r="K44" i="2" s="1"/>
  <c r="M44" i="2" s="1"/>
  <c r="J43" i="2"/>
  <c r="I43" i="2"/>
  <c r="K43" i="2" s="1"/>
  <c r="L43" i="2" s="1"/>
  <c r="K42" i="2"/>
  <c r="J42" i="2"/>
  <c r="I42" i="2"/>
  <c r="K41" i="2"/>
  <c r="M41" i="2" s="1"/>
  <c r="J41" i="2"/>
  <c r="I41" i="2"/>
  <c r="M40" i="2"/>
  <c r="L40" i="2"/>
  <c r="J40" i="2"/>
  <c r="I40" i="2"/>
  <c r="K40" i="2" s="1"/>
  <c r="J39" i="2"/>
  <c r="I39" i="2"/>
  <c r="J38" i="2"/>
  <c r="K38" i="2" s="1"/>
  <c r="I38" i="2"/>
  <c r="K37" i="2"/>
  <c r="M37" i="2" s="1"/>
  <c r="J37" i="2"/>
  <c r="I37" i="2"/>
  <c r="J36" i="2"/>
  <c r="I36" i="2"/>
  <c r="K36" i="2" s="1"/>
  <c r="M36" i="2" s="1"/>
  <c r="J35" i="2"/>
  <c r="I35" i="2"/>
  <c r="K35" i="2" s="1"/>
  <c r="L35" i="2" s="1"/>
  <c r="K34" i="2"/>
  <c r="J34" i="2"/>
  <c r="I34" i="2"/>
  <c r="K33" i="2"/>
  <c r="M33" i="2" s="1"/>
  <c r="J33" i="2"/>
  <c r="I33" i="2"/>
  <c r="M32" i="2"/>
  <c r="L32" i="2"/>
  <c r="J32" i="2"/>
  <c r="I32" i="2"/>
  <c r="K32" i="2" s="1"/>
  <c r="J31" i="2"/>
  <c r="I31" i="2"/>
  <c r="J30" i="2"/>
  <c r="K30" i="2" s="1"/>
  <c r="I30" i="2"/>
  <c r="K29" i="2"/>
  <c r="M29" i="2" s="1"/>
  <c r="J29" i="2"/>
  <c r="I29" i="2"/>
  <c r="J28" i="2"/>
  <c r="I28" i="2"/>
  <c r="K28" i="2" s="1"/>
  <c r="M28" i="2" s="1"/>
  <c r="J27" i="2"/>
  <c r="I27" i="2"/>
  <c r="K27" i="2" s="1"/>
  <c r="L27" i="2" s="1"/>
  <c r="K26" i="2"/>
  <c r="J26" i="2"/>
  <c r="I26" i="2"/>
  <c r="K25" i="2"/>
  <c r="M25" i="2" s="1"/>
  <c r="J25" i="2"/>
  <c r="I25" i="2"/>
  <c r="M24" i="2"/>
  <c r="L24" i="2"/>
  <c r="J24" i="2"/>
  <c r="I24" i="2"/>
  <c r="K24" i="2" s="1"/>
  <c r="J23" i="2"/>
  <c r="I23" i="2"/>
  <c r="J22" i="2"/>
  <c r="K22" i="2" s="1"/>
  <c r="I22" i="2"/>
  <c r="K21" i="2"/>
  <c r="M21" i="2" s="1"/>
  <c r="J21" i="2"/>
  <c r="I21" i="2"/>
  <c r="J20" i="2"/>
  <c r="I20" i="2"/>
  <c r="K20" i="2" s="1"/>
  <c r="M20" i="2" s="1"/>
  <c r="J19" i="2"/>
  <c r="I19" i="2"/>
  <c r="K19" i="2" s="1"/>
  <c r="L19" i="2" s="1"/>
  <c r="K18" i="2"/>
  <c r="J18" i="2"/>
  <c r="I18" i="2"/>
  <c r="K17" i="2"/>
  <c r="M17" i="2" s="1"/>
  <c r="J17" i="2"/>
  <c r="I17" i="2"/>
  <c r="M16" i="2"/>
  <c r="L16" i="2"/>
  <c r="J16" i="2"/>
  <c r="I16" i="2"/>
  <c r="K16" i="2" s="1"/>
  <c r="J15" i="2"/>
  <c r="I15" i="2"/>
  <c r="J14" i="2"/>
  <c r="K14" i="2" s="1"/>
  <c r="I14" i="2"/>
  <c r="K13" i="2"/>
  <c r="M13" i="2" s="1"/>
  <c r="J13" i="2"/>
  <c r="I13" i="2"/>
  <c r="J12" i="2"/>
  <c r="I12" i="2"/>
  <c r="K12" i="2" s="1"/>
  <c r="M12" i="2" s="1"/>
  <c r="J11" i="2"/>
  <c r="I11" i="2"/>
  <c r="K11" i="2" s="1"/>
  <c r="L11" i="2" s="1"/>
  <c r="K10" i="2"/>
  <c r="J10" i="2"/>
  <c r="I10" i="2"/>
  <c r="K9" i="2"/>
  <c r="M9" i="2" s="1"/>
  <c r="J9" i="2"/>
  <c r="I9" i="2"/>
  <c r="M8" i="2"/>
  <c r="L8" i="2"/>
  <c r="J8" i="2"/>
  <c r="I8" i="2"/>
  <c r="K8" i="2" s="1"/>
  <c r="J7" i="2"/>
  <c r="I7" i="2"/>
  <c r="J6" i="2"/>
  <c r="K6" i="2" s="1"/>
  <c r="I6" i="2"/>
  <c r="K5" i="2"/>
  <c r="M5" i="2" s="1"/>
  <c r="J5" i="2"/>
  <c r="I5" i="2"/>
  <c r="J4" i="2"/>
  <c r="I4" i="2"/>
  <c r="K4" i="2" s="1"/>
  <c r="M4" i="2" s="1"/>
  <c r="I3" i="2"/>
  <c r="M14" i="2" l="1"/>
  <c r="L14" i="2"/>
  <c r="M46" i="2"/>
  <c r="L46" i="2"/>
  <c r="M22" i="2"/>
  <c r="L22" i="2"/>
  <c r="M54" i="2"/>
  <c r="L54" i="2"/>
  <c r="M30" i="2"/>
  <c r="L30" i="2"/>
  <c r="M62" i="2"/>
  <c r="L62" i="2"/>
  <c r="M6" i="2"/>
  <c r="L6" i="2"/>
  <c r="M38" i="2"/>
  <c r="L38" i="2"/>
  <c r="M70" i="2"/>
  <c r="L70" i="2"/>
  <c r="M10" i="2"/>
  <c r="L10" i="2"/>
  <c r="M18" i="2"/>
  <c r="L18" i="2"/>
  <c r="M26" i="2"/>
  <c r="L26" i="2"/>
  <c r="M34" i="2"/>
  <c r="L34" i="2"/>
  <c r="M42" i="2"/>
  <c r="L42" i="2"/>
  <c r="M50" i="2"/>
  <c r="L50" i="2"/>
  <c r="M58" i="2"/>
  <c r="L58" i="2"/>
  <c r="M66" i="2"/>
  <c r="L66" i="2"/>
  <c r="M74" i="2"/>
  <c r="L74" i="2"/>
  <c r="M82" i="2"/>
  <c r="L82" i="2"/>
  <c r="L89" i="2"/>
  <c r="M89" i="2"/>
  <c r="M98" i="2"/>
  <c r="L98" i="2"/>
  <c r="L9" i="2"/>
  <c r="L17" i="2"/>
  <c r="L25" i="2"/>
  <c r="L33" i="2"/>
  <c r="L41" i="2"/>
  <c r="L49" i="2"/>
  <c r="L57" i="2"/>
  <c r="L65" i="2"/>
  <c r="L73" i="2"/>
  <c r="M78" i="2"/>
  <c r="L78" i="2"/>
  <c r="L85" i="2"/>
  <c r="M85" i="2"/>
  <c r="M94" i="2"/>
  <c r="L94" i="2"/>
  <c r="L101" i="2"/>
  <c r="M101" i="2"/>
  <c r="L4" i="2"/>
  <c r="L12" i="2"/>
  <c r="L20" i="2"/>
  <c r="L28" i="2"/>
  <c r="L36" i="2"/>
  <c r="L44" i="2"/>
  <c r="L52" i="2"/>
  <c r="L60" i="2"/>
  <c r="L68" i="2"/>
  <c r="L76" i="2"/>
  <c r="L81" i="2"/>
  <c r="M81" i="2"/>
  <c r="L84" i="2"/>
  <c r="M87" i="2"/>
  <c r="M90" i="2"/>
  <c r="L90" i="2"/>
  <c r="M97" i="2"/>
  <c r="L97" i="2"/>
  <c r="L100" i="2"/>
  <c r="N3" i="2"/>
  <c r="L5" i="2"/>
  <c r="K7" i="2"/>
  <c r="M11" i="2"/>
  <c r="L13" i="2"/>
  <c r="K15" i="2"/>
  <c r="M19" i="2"/>
  <c r="L21" i="2"/>
  <c r="K23" i="2"/>
  <c r="M27" i="2"/>
  <c r="L29" i="2"/>
  <c r="K31" i="2"/>
  <c r="M35" i="2"/>
  <c r="L37" i="2"/>
  <c r="K39" i="2"/>
  <c r="M43" i="2"/>
  <c r="L45" i="2"/>
  <c r="K47" i="2"/>
  <c r="M51" i="2"/>
  <c r="L53" i="2"/>
  <c r="K55" i="2"/>
  <c r="M59" i="2"/>
  <c r="L61" i="2"/>
  <c r="K63" i="2"/>
  <c r="M67" i="2"/>
  <c r="L69" i="2"/>
  <c r="K71" i="2"/>
  <c r="M75" i="2"/>
  <c r="L77" i="2"/>
  <c r="L80" i="2"/>
  <c r="M83" i="2"/>
  <c r="M86" i="2"/>
  <c r="L86" i="2"/>
  <c r="M93" i="2"/>
  <c r="L93" i="2"/>
  <c r="L96" i="2"/>
  <c r="M99" i="2"/>
  <c r="M102" i="2"/>
  <c r="L102" i="2"/>
  <c r="L47" i="2" l="1"/>
  <c r="M47" i="2"/>
  <c r="L15" i="2"/>
  <c r="M15" i="2"/>
  <c r="L55" i="2"/>
  <c r="M55" i="2"/>
  <c r="L23" i="2"/>
  <c r="M23" i="2"/>
  <c r="L63" i="2"/>
  <c r="M63" i="2"/>
  <c r="L31" i="2"/>
  <c r="M31" i="2"/>
  <c r="L71" i="2"/>
  <c r="M71" i="2"/>
  <c r="L39" i="2"/>
  <c r="M39" i="2"/>
  <c r="L7" i="2"/>
  <c r="M7" i="2"/>
</calcChain>
</file>

<file path=xl/sharedStrings.xml><?xml version="1.0" encoding="utf-8"?>
<sst xmlns="http://schemas.openxmlformats.org/spreadsheetml/2006/main" count="529" uniqueCount="243">
  <si>
    <t>Basic&lt;=10000
3000</t>
  </si>
  <si>
    <t>Dept=Sales
10% of basic</t>
  </si>
  <si>
    <t>Dept=Admin
Salary &lt;=10000
5% of basic</t>
  </si>
  <si>
    <t>5000 GV
Sales and Mktg dept</t>
  </si>
  <si>
    <t>Dept=CCD,Salary=&gt;10000
Dept=Personnel, salary&gt;=10000,
result= 6000 GV</t>
  </si>
  <si>
    <t>TA
North=4000
South=4200
East=3800
West = 3600</t>
  </si>
  <si>
    <t>GV 2000 to 
everyone, Except
Director</t>
  </si>
  <si>
    <t>SNO</t>
  </si>
  <si>
    <t>First name</t>
  </si>
  <si>
    <t>Last name</t>
  </si>
  <si>
    <t>Department</t>
  </si>
  <si>
    <t>Region</t>
  </si>
  <si>
    <t>Branches</t>
  </si>
  <si>
    <t>Date Hire</t>
  </si>
  <si>
    <t>Basic</t>
  </si>
  <si>
    <t>HRA</t>
  </si>
  <si>
    <t>DA</t>
  </si>
  <si>
    <t>Gross</t>
  </si>
  <si>
    <t>Professional Tax</t>
  </si>
  <si>
    <t>PPF</t>
  </si>
  <si>
    <t>NET</t>
  </si>
  <si>
    <t>Bonus</t>
  </si>
  <si>
    <t>Raise</t>
  </si>
  <si>
    <t>Gift Voucher</t>
  </si>
  <si>
    <t>TRAVEL ALLW</t>
  </si>
  <si>
    <t>GV</t>
  </si>
  <si>
    <t>Raja</t>
  </si>
  <si>
    <t>Raymondekar</t>
  </si>
  <si>
    <t>Sales</t>
  </si>
  <si>
    <t>north</t>
  </si>
  <si>
    <t>Ferozepur</t>
  </si>
  <si>
    <t>Suman</t>
  </si>
  <si>
    <t>Shinde</t>
  </si>
  <si>
    <t>east</t>
  </si>
  <si>
    <t>Cuttack</t>
  </si>
  <si>
    <t>Kuldeep</t>
  </si>
  <si>
    <t>Sharma</t>
  </si>
  <si>
    <t>Admin</t>
  </si>
  <si>
    <t>south</t>
  </si>
  <si>
    <t>Hydrabad</t>
  </si>
  <si>
    <t>Beena</t>
  </si>
  <si>
    <t>Mavadia</t>
  </si>
  <si>
    <t>Mktg</t>
  </si>
  <si>
    <t>Delhi</t>
  </si>
  <si>
    <t>Seema</t>
  </si>
  <si>
    <t>Ranganathan</t>
  </si>
  <si>
    <t>R&amp;D</t>
  </si>
  <si>
    <t>Kanpur</t>
  </si>
  <si>
    <t>Julie</t>
  </si>
  <si>
    <t>D'Souza</t>
  </si>
  <si>
    <t>Mathura</t>
  </si>
  <si>
    <t>Deepak</t>
  </si>
  <si>
    <t>Jain</t>
  </si>
  <si>
    <t>Personnel</t>
  </si>
  <si>
    <t>west</t>
  </si>
  <si>
    <t>Pune</t>
  </si>
  <si>
    <t>Neena</t>
  </si>
  <si>
    <t>Mukherjee</t>
  </si>
  <si>
    <t>Agra</t>
  </si>
  <si>
    <t>Pankaj</t>
  </si>
  <si>
    <t>Sutradhar</t>
  </si>
  <si>
    <t>Ambala</t>
  </si>
  <si>
    <t>Andre</t>
  </si>
  <si>
    <t>Fernendes</t>
  </si>
  <si>
    <t>Darjeeling</t>
  </si>
  <si>
    <t>Sujay</t>
  </si>
  <si>
    <t>Madhrani</t>
  </si>
  <si>
    <t>Finance</t>
  </si>
  <si>
    <t>Shilpa</t>
  </si>
  <si>
    <t>Lele</t>
  </si>
  <si>
    <t>Jammu</t>
  </si>
  <si>
    <t>Meera</t>
  </si>
  <si>
    <t>Lalwani</t>
  </si>
  <si>
    <t>Calcutta</t>
  </si>
  <si>
    <t>Sheetal</t>
  </si>
  <si>
    <t>Desai</t>
  </si>
  <si>
    <t>Director</t>
  </si>
  <si>
    <t>cochin</t>
  </si>
  <si>
    <t>K. Sita</t>
  </si>
  <si>
    <t>Narayanan</t>
  </si>
  <si>
    <t>Priya</t>
  </si>
  <si>
    <t>Shirodkar</t>
  </si>
  <si>
    <t>Jaipur</t>
  </si>
  <si>
    <t>Aalok</t>
  </si>
  <si>
    <t>Trivedi</t>
  </si>
  <si>
    <t>Aakash</t>
  </si>
  <si>
    <t>Dixit</t>
  </si>
  <si>
    <t>Nasik</t>
  </si>
  <si>
    <t>Parvati</t>
  </si>
  <si>
    <t>Khanna</t>
  </si>
  <si>
    <t>Farhan</t>
  </si>
  <si>
    <t>Sadiq</t>
  </si>
  <si>
    <t>Satinder Kaur</t>
  </si>
  <si>
    <t>Sasan</t>
  </si>
  <si>
    <t>Patna</t>
  </si>
  <si>
    <t>Suchita</t>
  </si>
  <si>
    <t>Panchal</t>
  </si>
  <si>
    <t>Shazia</t>
  </si>
  <si>
    <t>Sheikh</t>
  </si>
  <si>
    <t>Pooja</t>
  </si>
  <si>
    <t>Nimkar</t>
  </si>
  <si>
    <t>Jasbinder</t>
  </si>
  <si>
    <t>Khurana</t>
  </si>
  <si>
    <t>Manglore</t>
  </si>
  <si>
    <t>Bharat</t>
  </si>
  <si>
    <t>Shetty</t>
  </si>
  <si>
    <t>Rishi</t>
  </si>
  <si>
    <t>Malik</t>
  </si>
  <si>
    <t>Banglore</t>
  </si>
  <si>
    <t>Mala</t>
  </si>
  <si>
    <t>Bhaduri</t>
  </si>
  <si>
    <t>Mumbai</t>
  </si>
  <si>
    <t>Hajra</t>
  </si>
  <si>
    <t>Hoonjan</t>
  </si>
  <si>
    <t>Aalam</t>
  </si>
  <si>
    <t>Qureshi</t>
  </si>
  <si>
    <t>Giriraj</t>
  </si>
  <si>
    <t>Gupta</t>
  </si>
  <si>
    <t>Ankur</t>
  </si>
  <si>
    <t>Joshi</t>
  </si>
  <si>
    <t>CCD</t>
  </si>
  <si>
    <t>Tapan</t>
  </si>
  <si>
    <t>Ghoshal</t>
  </si>
  <si>
    <t>Zarina</t>
  </si>
  <si>
    <t>Vora</t>
  </si>
  <si>
    <t>Lucknow</t>
  </si>
  <si>
    <t>Arun</t>
  </si>
  <si>
    <t>Khetan</t>
  </si>
  <si>
    <t>Surat</t>
  </si>
  <si>
    <t>Parikh</t>
  </si>
  <si>
    <t>Mysore</t>
  </si>
  <si>
    <t>Chitra</t>
  </si>
  <si>
    <t>Pednekar</t>
  </si>
  <si>
    <t>Aligarh</t>
  </si>
  <si>
    <t>Dodhia</t>
  </si>
  <si>
    <t>delhi</t>
  </si>
  <si>
    <t>Richa</t>
  </si>
  <si>
    <t>Raje</t>
  </si>
  <si>
    <t>Kirtikar</t>
  </si>
  <si>
    <t>Sardesai</t>
  </si>
  <si>
    <t>Gokhale</t>
  </si>
  <si>
    <t>Piyush</t>
  </si>
  <si>
    <t>Surti</t>
  </si>
  <si>
    <t>Shaheen</t>
  </si>
  <si>
    <t>Khan</t>
  </si>
  <si>
    <t>Kinnari</t>
  </si>
  <si>
    <t>Mehta</t>
  </si>
  <si>
    <t>Jeena</t>
  </si>
  <si>
    <t>Baig</t>
  </si>
  <si>
    <t>Vicky</t>
  </si>
  <si>
    <t>Neha</t>
  </si>
  <si>
    <t>Baroda</t>
  </si>
  <si>
    <t>Rakesh</t>
  </si>
  <si>
    <t>Kumar</t>
  </si>
  <si>
    <t>Ruheal</t>
  </si>
  <si>
    <t>Mario</t>
  </si>
  <si>
    <t>Fernandes</t>
  </si>
  <si>
    <t>Heena</t>
  </si>
  <si>
    <t>Godbole</t>
  </si>
  <si>
    <t>Mehul</t>
  </si>
  <si>
    <t>Sheth</t>
  </si>
  <si>
    <t>Nagpur</t>
  </si>
  <si>
    <t>Vishal</t>
  </si>
  <si>
    <t>Virsinghani</t>
  </si>
  <si>
    <t>Gangtok</t>
  </si>
  <si>
    <t>Lalita</t>
  </si>
  <si>
    <t>Rao</t>
  </si>
  <si>
    <t>Guwahati</t>
  </si>
  <si>
    <t>Kajal</t>
  </si>
  <si>
    <t>Joglekar</t>
  </si>
  <si>
    <t>Katti</t>
  </si>
  <si>
    <t>chennai</t>
  </si>
  <si>
    <t>Maya</t>
  </si>
  <si>
    <t>Disha</t>
  </si>
  <si>
    <t>Parmar</t>
  </si>
  <si>
    <t>Geeta</t>
  </si>
  <si>
    <t>Darekar</t>
  </si>
  <si>
    <t>Trivanadrum</t>
  </si>
  <si>
    <t>Anuradha</t>
  </si>
  <si>
    <t>Zha</t>
  </si>
  <si>
    <t>Asha</t>
  </si>
  <si>
    <t>Waheda</t>
  </si>
  <si>
    <t>Veena</t>
  </si>
  <si>
    <t>Patil</t>
  </si>
  <si>
    <t>Timsi</t>
  </si>
  <si>
    <t>Parul</t>
  </si>
  <si>
    <t>Shah</t>
  </si>
  <si>
    <t>Uday</t>
  </si>
  <si>
    <t>Naik</t>
  </si>
  <si>
    <t>Mandakini</t>
  </si>
  <si>
    <t>Pravin</t>
  </si>
  <si>
    <t>Reeta</t>
  </si>
  <si>
    <t>Surendra</t>
  </si>
  <si>
    <t>Godse</t>
  </si>
  <si>
    <t>Panji</t>
  </si>
  <si>
    <t>Yamini</t>
  </si>
  <si>
    <t>Laveena</t>
  </si>
  <si>
    <t>Shenoy</t>
  </si>
  <si>
    <t>Nita</t>
  </si>
  <si>
    <t>Pandhya</t>
  </si>
  <si>
    <t>Suraj</t>
  </si>
  <si>
    <t>Saksena</t>
  </si>
  <si>
    <t>Nayeem</t>
  </si>
  <si>
    <t>Drishti</t>
  </si>
  <si>
    <t>Deep</t>
  </si>
  <si>
    <t>Chhaya</t>
  </si>
  <si>
    <t>Sagar</t>
  </si>
  <si>
    <t>Bidkar</t>
  </si>
  <si>
    <t>Dayanand</t>
  </si>
  <si>
    <t>Gandhi</t>
  </si>
  <si>
    <t>Tara</t>
  </si>
  <si>
    <t>Phule</t>
  </si>
  <si>
    <t>Kalpana</t>
  </si>
  <si>
    <t>Shirishkar</t>
  </si>
  <si>
    <t>Kunal</t>
  </si>
  <si>
    <t>Pinky</t>
  </si>
  <si>
    <t>Robert</t>
  </si>
  <si>
    <t>Ruby</t>
  </si>
  <si>
    <t>Joseph</t>
  </si>
  <si>
    <t>Sonia</t>
  </si>
  <si>
    <t>Jignesh</t>
  </si>
  <si>
    <t>Tripathi</t>
  </si>
  <si>
    <t>Vinit</t>
  </si>
  <si>
    <t>Shrivastava</t>
  </si>
  <si>
    <t>Tejal</t>
  </si>
  <si>
    <t>Patel</t>
  </si>
  <si>
    <t>Priyanka</t>
  </si>
  <si>
    <t>Niki</t>
  </si>
  <si>
    <t>Digaria</t>
  </si>
  <si>
    <t>Payal</t>
  </si>
  <si>
    <t>Singhani</t>
  </si>
  <si>
    <t>Harsha</t>
  </si>
  <si>
    <t>Radhika</t>
  </si>
  <si>
    <t>Kulkarni</t>
  </si>
  <si>
    <t>Kabir</t>
  </si>
  <si>
    <t>Pushpa</t>
  </si>
  <si>
    <t>Raut</t>
  </si>
  <si>
    <t>Chetan</t>
  </si>
  <si>
    <t>Dalvi</t>
  </si>
  <si>
    <t>Indu</t>
  </si>
  <si>
    <t>Rupesh</t>
  </si>
  <si>
    <t>Sawant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</si>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</sst>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"/>
  </numFmts>
  <fonts count="5">
    <font>
      <sz val="16"/>
      <color theme="1"/>
      <name val="Arial Rounded"/>
      <scheme val="minor"/>
    </font>
    <font>
      <sz val="12"/>
      <color theme="1"/>
      <name val="Arial Rounded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6"/>
      <color theme="1"/>
      <name val="Arial Rounded"/>
    </font>
  </fonts>
  <fills count="3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9" fontId="1" fillId="0" borderId="0" xfId="0" applyNumberFormat="1" applyFont="1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1" xfId="0" applyFont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xcel\9%20TO%2011am%2024th%20aug%2022\Excel\Practice%20Dataset%20Excel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C ANALYSIS"/>
      <sheetName val="Sheet5"/>
      <sheetName val="Sheet1 (2)"/>
      <sheetName val="logical fns"/>
      <sheetName val="Sheet1 (4)"/>
      <sheetName val="Sheet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 Rounded"/>
        <a:ea typeface="Arial Rounded"/>
        <a:cs typeface="Arial Rounded"/>
      </a:majorFont>
      <a:minorFont>
        <a:latin typeface="Arial Rounded"/>
        <a:ea typeface="Arial Rounded"/>
        <a:cs typeface="Arial Rounded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"/>
  <sheetViews>
    <sheetView workbookViewId="0"/>
  </sheetViews>
  <sheetFormatPr defaultColWidth="8.4140625" defaultRowHeight="15" customHeight="1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D1" zoomScale="72" workbookViewId="0">
      <selection activeCell="T3" sqref="T3"/>
    </sheetView>
  </sheetViews>
  <sheetFormatPr defaultColWidth="8.4140625" defaultRowHeight="15" customHeight="1"/>
  <cols>
    <col min="1" max="1" width="2.58203125" bestFit="1" customWidth="1"/>
    <col min="2" max="3" width="6.83203125" bestFit="1" customWidth="1"/>
    <col min="4" max="4" width="6.25" bestFit="1" customWidth="1"/>
    <col min="5" max="5" width="3.6640625" bestFit="1" customWidth="1"/>
    <col min="6" max="6" width="6.5" bestFit="1" customWidth="1"/>
    <col min="7" max="8" width="7.25" bestFit="1" customWidth="1"/>
    <col min="9" max="11" width="10.25" bestFit="1" customWidth="1"/>
    <col min="12" max="13" width="9.25" bestFit="1" customWidth="1"/>
    <col min="14" max="14" width="9.58203125" customWidth="1"/>
    <col min="15" max="15" width="19.83203125" customWidth="1"/>
    <col min="16" max="16" width="9.6640625" customWidth="1"/>
    <col min="17" max="17" width="9.58203125" customWidth="1"/>
    <col min="18" max="18" width="9" customWidth="1"/>
    <col min="19" max="19" width="21" customWidth="1"/>
    <col min="20" max="20" width="10.25" bestFit="1" customWidth="1"/>
    <col min="21" max="21" width="7.75" bestFit="1" customWidth="1"/>
  </cols>
  <sheetData>
    <row r="1" spans="1:26" ht="88.5" customHeight="1">
      <c r="A1" s="1"/>
      <c r="B1" s="1"/>
      <c r="C1" s="1"/>
      <c r="D1" s="1"/>
      <c r="E1" s="1"/>
      <c r="F1" s="1"/>
      <c r="G1" s="1"/>
      <c r="H1" s="1"/>
      <c r="I1" s="2">
        <v>0.35</v>
      </c>
      <c r="J1" s="2">
        <v>0.3</v>
      </c>
      <c r="K1" s="1"/>
      <c r="L1" s="2">
        <v>0.1</v>
      </c>
      <c r="M1" s="2">
        <v>0.12</v>
      </c>
      <c r="N1" s="1"/>
      <c r="O1" s="3" t="s">
        <v>0</v>
      </c>
      <c r="P1" s="3" t="s">
        <v>1</v>
      </c>
      <c r="Q1" s="3" t="s">
        <v>2</v>
      </c>
      <c r="R1" s="3" t="s">
        <v>3</v>
      </c>
      <c r="S1" s="3" t="s">
        <v>4</v>
      </c>
      <c r="T1" s="3" t="s">
        <v>5</v>
      </c>
      <c r="U1" s="3" t="s">
        <v>6</v>
      </c>
      <c r="V1" s="1"/>
      <c r="W1" s="1"/>
      <c r="X1" s="1"/>
      <c r="Y1" s="1"/>
      <c r="Z1" s="1"/>
    </row>
    <row r="2" spans="1:26" ht="20.25" customHeight="1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5" t="s">
        <v>17</v>
      </c>
      <c r="L2" s="5" t="s">
        <v>18</v>
      </c>
      <c r="M2" s="5" t="s">
        <v>19</v>
      </c>
      <c r="N2" s="4" t="s">
        <v>20</v>
      </c>
      <c r="O2" s="4" t="s">
        <v>21</v>
      </c>
      <c r="P2" s="4" t="s">
        <v>21</v>
      </c>
      <c r="Q2" s="4" t="s">
        <v>22</v>
      </c>
      <c r="R2" s="4" t="s">
        <v>23</v>
      </c>
      <c r="S2" s="4" t="s">
        <v>23</v>
      </c>
      <c r="T2" s="4" t="s">
        <v>24</v>
      </c>
      <c r="U2" s="4" t="s">
        <v>25</v>
      </c>
    </row>
    <row r="3" spans="1:26" ht="20.25" customHeight="1">
      <c r="A3" s="6">
        <v>1</v>
      </c>
      <c r="B3" s="6" t="s">
        <v>26</v>
      </c>
      <c r="C3" s="6" t="s">
        <v>27</v>
      </c>
      <c r="D3" s="6" t="s">
        <v>28</v>
      </c>
      <c r="E3" s="6" t="s">
        <v>29</v>
      </c>
      <c r="F3" s="6" t="s">
        <v>30</v>
      </c>
      <c r="G3" s="7">
        <v>28126</v>
      </c>
      <c r="H3" s="8">
        <v>21875</v>
      </c>
      <c r="I3" s="9">
        <f t="shared" ref="I3:J3" si="0">$H3*I$1</f>
        <v>7656.2499999999991</v>
      </c>
      <c r="J3" s="9">
        <f>$H3*J$1</f>
        <v>6562.5</v>
      </c>
      <c r="K3" s="9">
        <f>SUM(H3:J3)</f>
        <v>36093.75</v>
      </c>
      <c r="L3" s="9">
        <f>K3*$L$1</f>
        <v>3609.375</v>
      </c>
      <c r="M3" s="9">
        <f>K3*$M$1</f>
        <v>4331.25</v>
      </c>
      <c r="N3" s="10">
        <f>K3-SUM(L3:M3)</f>
        <v>28153.125</v>
      </c>
      <c r="O3" s="11">
        <f>IF(H3&lt;=10000,3000,0)</f>
        <v>0</v>
      </c>
      <c r="P3" s="10">
        <f>IF(D3="Sales",H3*10%,0)</f>
        <v>2187.5</v>
      </c>
      <c r="Q3" s="11">
        <f>IF(AND(D3="Admin",H3&lt;=10000),H3*10%,0)</f>
        <v>0</v>
      </c>
      <c r="R3" s="11">
        <f>IF(OR(D3="Sales",D3="Mktg"),5000,0)</f>
        <v>5000</v>
      </c>
      <c r="S3" s="11">
        <f>IF(OR(AND(D3="CCD",H3&gt;=10000),AND(D3="personnel",H3&gt;=10000)),6000,0)</f>
        <v>0</v>
      </c>
      <c r="T3" s="11" t="s">
        <v>242</v>
      </c>
      <c r="U3" s="11"/>
    </row>
    <row r="4" spans="1:26" ht="20.25" customHeight="1">
      <c r="A4" s="6">
        <v>2</v>
      </c>
      <c r="B4" s="6" t="s">
        <v>31</v>
      </c>
      <c r="C4" s="6" t="s">
        <v>32</v>
      </c>
      <c r="D4" s="6" t="s">
        <v>28</v>
      </c>
      <c r="E4" s="6" t="s">
        <v>33</v>
      </c>
      <c r="F4" s="6" t="s">
        <v>34</v>
      </c>
      <c r="G4" s="7">
        <v>28126</v>
      </c>
      <c r="H4" s="8">
        <v>17500</v>
      </c>
      <c r="I4" s="9">
        <f t="shared" ref="I4:J4" si="1">$H4*I$1</f>
        <v>6125</v>
      </c>
      <c r="J4" s="9">
        <f t="shared" si="1"/>
        <v>5250</v>
      </c>
      <c r="K4" s="9">
        <f t="shared" ref="K3:K102" si="2">SUM(H4:J4)</f>
        <v>28875</v>
      </c>
      <c r="L4" s="9">
        <f t="shared" ref="L3:L102" si="3">K4*$L$1</f>
        <v>2887.5</v>
      </c>
      <c r="M4" s="9">
        <f t="shared" ref="M3:M102" si="4">K4*$M$1</f>
        <v>3465</v>
      </c>
      <c r="N4" s="10">
        <f t="shared" ref="N4:N67" si="5">K4-SUM(L4:M4)</f>
        <v>22522.5</v>
      </c>
      <c r="O4" s="11">
        <f t="shared" ref="O4:O67" si="6">IF(H4&lt;=10000,3000,0)</f>
        <v>0</v>
      </c>
      <c r="P4" s="10">
        <f t="shared" ref="P4:P67" si="7">IF(D4="Sales",H4*10%,0)</f>
        <v>1750</v>
      </c>
      <c r="Q4" s="11">
        <f t="shared" ref="Q4:Q67" si="8">IF(AND(D4="Admin",H4&lt;=10000),H4*10%,0)</f>
        <v>0</v>
      </c>
      <c r="R4" s="11">
        <f t="shared" ref="R4:R67" si="9">IF(OR(D4="Sales",D4="Mktg"),5000,0)</f>
        <v>5000</v>
      </c>
      <c r="S4" s="11">
        <f t="shared" ref="S4:S67" si="10">IF(OR(AND(D4="CCD",H4&gt;=10000),AND(D4="personnel",H4&gt;=10000)),6000,0)</f>
        <v>0</v>
      </c>
      <c r="T4" s="11"/>
      <c r="U4" s="11"/>
    </row>
    <row r="5" spans="1:26" ht="20.25" customHeight="1">
      <c r="A5" s="6">
        <v>3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7">
        <v>36220</v>
      </c>
      <c r="H5" s="8">
        <v>7000</v>
      </c>
      <c r="I5" s="9">
        <f t="shared" ref="I5:J5" si="11">$H5*I$1</f>
        <v>2450</v>
      </c>
      <c r="J5" s="9">
        <f t="shared" si="11"/>
        <v>2100</v>
      </c>
      <c r="K5" s="9">
        <f t="shared" si="2"/>
        <v>11550</v>
      </c>
      <c r="L5" s="9">
        <f t="shared" si="3"/>
        <v>1155</v>
      </c>
      <c r="M5" s="9">
        <f t="shared" si="4"/>
        <v>1386</v>
      </c>
      <c r="N5" s="10">
        <f t="shared" si="5"/>
        <v>9009</v>
      </c>
      <c r="O5" s="11">
        <f t="shared" si="6"/>
        <v>3000</v>
      </c>
      <c r="P5" s="10">
        <f t="shared" si="7"/>
        <v>0</v>
      </c>
      <c r="Q5" s="11">
        <f t="shared" si="8"/>
        <v>700</v>
      </c>
      <c r="R5" s="11">
        <f t="shared" si="9"/>
        <v>0</v>
      </c>
      <c r="S5" s="11">
        <f t="shared" si="10"/>
        <v>0</v>
      </c>
      <c r="T5" s="11"/>
      <c r="U5" s="11"/>
    </row>
    <row r="6" spans="1:26" ht="20.25" customHeight="1">
      <c r="A6" s="6">
        <v>4</v>
      </c>
      <c r="B6" s="6" t="s">
        <v>40</v>
      </c>
      <c r="C6" s="6" t="s">
        <v>41</v>
      </c>
      <c r="D6" s="6" t="s">
        <v>42</v>
      </c>
      <c r="E6" s="6" t="s">
        <v>29</v>
      </c>
      <c r="F6" s="6" t="s">
        <v>43</v>
      </c>
      <c r="G6" s="7">
        <v>29183</v>
      </c>
      <c r="H6" s="8">
        <v>12250</v>
      </c>
      <c r="I6" s="9">
        <f t="shared" ref="I6:J6" si="12">$H6*I$1</f>
        <v>4287.5</v>
      </c>
      <c r="J6" s="9">
        <f t="shared" si="12"/>
        <v>3675</v>
      </c>
      <c r="K6" s="9">
        <f t="shared" si="2"/>
        <v>20212.5</v>
      </c>
      <c r="L6" s="9">
        <f t="shared" si="3"/>
        <v>2021.25</v>
      </c>
      <c r="M6" s="9">
        <f t="shared" si="4"/>
        <v>2425.5</v>
      </c>
      <c r="N6" s="10">
        <f t="shared" si="5"/>
        <v>15765.75</v>
      </c>
      <c r="O6" s="11">
        <f t="shared" si="6"/>
        <v>0</v>
      </c>
      <c r="P6" s="10">
        <f t="shared" si="7"/>
        <v>0</v>
      </c>
      <c r="Q6" s="11">
        <f t="shared" si="8"/>
        <v>0</v>
      </c>
      <c r="R6" s="11">
        <f t="shared" si="9"/>
        <v>5000</v>
      </c>
      <c r="S6" s="11">
        <f t="shared" si="10"/>
        <v>0</v>
      </c>
      <c r="T6" s="11"/>
      <c r="U6" s="11"/>
    </row>
    <row r="7" spans="1:26" ht="20.25" customHeight="1">
      <c r="A7" s="6">
        <v>5</v>
      </c>
      <c r="B7" s="6" t="s">
        <v>44</v>
      </c>
      <c r="C7" s="6" t="s">
        <v>45</v>
      </c>
      <c r="D7" s="6" t="s">
        <v>46</v>
      </c>
      <c r="E7" s="6" t="s">
        <v>29</v>
      </c>
      <c r="F7" s="6" t="s">
        <v>47</v>
      </c>
      <c r="G7" s="7">
        <v>32755</v>
      </c>
      <c r="H7" s="8">
        <v>21000</v>
      </c>
      <c r="I7" s="9">
        <f t="shared" ref="I7:J7" si="13">$H7*I$1</f>
        <v>7349.9999999999991</v>
      </c>
      <c r="J7" s="9">
        <f t="shared" si="13"/>
        <v>6300</v>
      </c>
      <c r="K7" s="9">
        <f t="shared" si="2"/>
        <v>34650</v>
      </c>
      <c r="L7" s="9">
        <f t="shared" si="3"/>
        <v>3465</v>
      </c>
      <c r="M7" s="9">
        <f t="shared" si="4"/>
        <v>4158</v>
      </c>
      <c r="N7" s="10">
        <f t="shared" si="5"/>
        <v>27027</v>
      </c>
      <c r="O7" s="11">
        <f t="shared" si="6"/>
        <v>0</v>
      </c>
      <c r="P7" s="10">
        <f t="shared" si="7"/>
        <v>0</v>
      </c>
      <c r="Q7" s="11">
        <f t="shared" si="8"/>
        <v>0</v>
      </c>
      <c r="R7" s="11">
        <f t="shared" si="9"/>
        <v>0</v>
      </c>
      <c r="S7" s="11">
        <f t="shared" si="10"/>
        <v>0</v>
      </c>
      <c r="T7" s="11"/>
      <c r="U7" s="11"/>
    </row>
    <row r="8" spans="1:26" ht="20.25" customHeight="1">
      <c r="A8" s="6">
        <v>6</v>
      </c>
      <c r="B8" s="6" t="s">
        <v>48</v>
      </c>
      <c r="C8" s="6" t="s">
        <v>49</v>
      </c>
      <c r="D8" s="6" t="s">
        <v>46</v>
      </c>
      <c r="E8" s="6" t="s">
        <v>29</v>
      </c>
      <c r="F8" s="6" t="s">
        <v>50</v>
      </c>
      <c r="G8" s="7">
        <v>32390</v>
      </c>
      <c r="H8" s="8">
        <v>12425</v>
      </c>
      <c r="I8" s="9">
        <f t="shared" ref="I8:J8" si="14">$H8*I$1</f>
        <v>4348.75</v>
      </c>
      <c r="J8" s="9">
        <f t="shared" si="14"/>
        <v>3727.5</v>
      </c>
      <c r="K8" s="9">
        <f t="shared" si="2"/>
        <v>20501.25</v>
      </c>
      <c r="L8" s="9">
        <f t="shared" si="3"/>
        <v>2050.125</v>
      </c>
      <c r="M8" s="9">
        <f t="shared" si="4"/>
        <v>2460.15</v>
      </c>
      <c r="N8" s="10">
        <f t="shared" si="5"/>
        <v>15990.975</v>
      </c>
      <c r="O8" s="11">
        <f t="shared" si="6"/>
        <v>0</v>
      </c>
      <c r="P8" s="10">
        <f t="shared" si="7"/>
        <v>0</v>
      </c>
      <c r="Q8" s="11">
        <f t="shared" si="8"/>
        <v>0</v>
      </c>
      <c r="R8" s="11">
        <f t="shared" si="9"/>
        <v>0</v>
      </c>
      <c r="S8" s="11">
        <f t="shared" si="10"/>
        <v>0</v>
      </c>
      <c r="T8" s="11"/>
      <c r="U8" s="11"/>
    </row>
    <row r="9" spans="1:26" ht="20.25" customHeight="1">
      <c r="A9" s="6">
        <v>7</v>
      </c>
      <c r="B9" s="6" t="s">
        <v>51</v>
      </c>
      <c r="C9" s="6" t="s">
        <v>52</v>
      </c>
      <c r="D9" s="6" t="s">
        <v>53</v>
      </c>
      <c r="E9" s="6" t="s">
        <v>54</v>
      </c>
      <c r="F9" s="6" t="s">
        <v>55</v>
      </c>
      <c r="G9" s="7">
        <v>33102</v>
      </c>
      <c r="H9" s="8">
        <v>13825</v>
      </c>
      <c r="I9" s="9">
        <f t="shared" ref="I9:J9" si="15">$H9*I$1</f>
        <v>4838.75</v>
      </c>
      <c r="J9" s="9">
        <f t="shared" si="15"/>
        <v>4147.5</v>
      </c>
      <c r="K9" s="9">
        <f t="shared" si="2"/>
        <v>22811.25</v>
      </c>
      <c r="L9" s="9">
        <f t="shared" si="3"/>
        <v>2281.125</v>
      </c>
      <c r="M9" s="9">
        <f t="shared" si="4"/>
        <v>2737.35</v>
      </c>
      <c r="N9" s="10">
        <f t="shared" si="5"/>
        <v>17792.775000000001</v>
      </c>
      <c r="O9" s="11">
        <f t="shared" si="6"/>
        <v>0</v>
      </c>
      <c r="P9" s="10">
        <f t="shared" si="7"/>
        <v>0</v>
      </c>
      <c r="Q9" s="11">
        <f t="shared" si="8"/>
        <v>0</v>
      </c>
      <c r="R9" s="11">
        <f t="shared" si="9"/>
        <v>0</v>
      </c>
      <c r="S9" s="11">
        <f t="shared" si="10"/>
        <v>6000</v>
      </c>
      <c r="T9" s="11"/>
      <c r="U9" s="11"/>
    </row>
    <row r="10" spans="1:26" ht="20.25" customHeight="1">
      <c r="A10" s="6">
        <v>8</v>
      </c>
      <c r="B10" s="6" t="s">
        <v>56</v>
      </c>
      <c r="C10" s="6" t="s">
        <v>57</v>
      </c>
      <c r="D10" s="6" t="s">
        <v>46</v>
      </c>
      <c r="E10" s="6" t="s">
        <v>29</v>
      </c>
      <c r="F10" s="6" t="s">
        <v>58</v>
      </c>
      <c r="G10" s="7">
        <v>32755</v>
      </c>
      <c r="H10" s="8">
        <v>12425</v>
      </c>
      <c r="I10" s="9">
        <f t="shared" ref="I10:J10" si="16">$H10*I$1</f>
        <v>4348.75</v>
      </c>
      <c r="J10" s="9">
        <f t="shared" si="16"/>
        <v>3727.5</v>
      </c>
      <c r="K10" s="9">
        <f t="shared" si="2"/>
        <v>20501.25</v>
      </c>
      <c r="L10" s="9">
        <f t="shared" si="3"/>
        <v>2050.125</v>
      </c>
      <c r="M10" s="9">
        <f t="shared" si="4"/>
        <v>2460.15</v>
      </c>
      <c r="N10" s="10">
        <f t="shared" si="5"/>
        <v>15990.975</v>
      </c>
      <c r="O10" s="11">
        <f t="shared" si="6"/>
        <v>0</v>
      </c>
      <c r="P10" s="10">
        <f t="shared" si="7"/>
        <v>0</v>
      </c>
      <c r="Q10" s="11">
        <f t="shared" si="8"/>
        <v>0</v>
      </c>
      <c r="R10" s="11">
        <f t="shared" si="9"/>
        <v>0</v>
      </c>
      <c r="S10" s="11">
        <f t="shared" si="10"/>
        <v>0</v>
      </c>
      <c r="T10" s="11"/>
      <c r="U10" s="11"/>
    </row>
    <row r="11" spans="1:26" ht="20.25" customHeight="1">
      <c r="A11" s="6">
        <v>9</v>
      </c>
      <c r="B11" s="6" t="s">
        <v>59</v>
      </c>
      <c r="C11" s="6" t="s">
        <v>60</v>
      </c>
      <c r="D11" s="6" t="s">
        <v>28</v>
      </c>
      <c r="E11" s="6" t="s">
        <v>29</v>
      </c>
      <c r="F11" s="6" t="s">
        <v>61</v>
      </c>
      <c r="G11" s="7">
        <v>36506</v>
      </c>
      <c r="H11" s="8">
        <v>14875</v>
      </c>
      <c r="I11" s="9">
        <f t="shared" ref="I11:J11" si="17">$H11*I$1</f>
        <v>5206.25</v>
      </c>
      <c r="J11" s="9">
        <f t="shared" si="17"/>
        <v>4462.5</v>
      </c>
      <c r="K11" s="9">
        <f t="shared" si="2"/>
        <v>24543.75</v>
      </c>
      <c r="L11" s="9">
        <f t="shared" si="3"/>
        <v>2454.375</v>
      </c>
      <c r="M11" s="9">
        <f t="shared" si="4"/>
        <v>2945.25</v>
      </c>
      <c r="N11" s="10">
        <f t="shared" si="5"/>
        <v>19144.125</v>
      </c>
      <c r="O11" s="11">
        <f t="shared" si="6"/>
        <v>0</v>
      </c>
      <c r="P11" s="10">
        <f t="shared" si="7"/>
        <v>1487.5</v>
      </c>
      <c r="Q11" s="11">
        <f t="shared" si="8"/>
        <v>0</v>
      </c>
      <c r="R11" s="11">
        <f t="shared" si="9"/>
        <v>5000</v>
      </c>
      <c r="S11" s="11">
        <f t="shared" si="10"/>
        <v>0</v>
      </c>
      <c r="T11" s="11"/>
      <c r="U11" s="11"/>
    </row>
    <row r="12" spans="1:26" ht="20.25" customHeight="1">
      <c r="A12" s="6">
        <v>10</v>
      </c>
      <c r="B12" s="6" t="s">
        <v>62</v>
      </c>
      <c r="C12" s="6" t="s">
        <v>63</v>
      </c>
      <c r="D12" s="6" t="s">
        <v>42</v>
      </c>
      <c r="E12" s="6" t="s">
        <v>33</v>
      </c>
      <c r="F12" s="6" t="s">
        <v>64</v>
      </c>
      <c r="G12" s="7">
        <v>28326</v>
      </c>
      <c r="H12" s="8">
        <v>15750</v>
      </c>
      <c r="I12" s="9">
        <f t="shared" ref="I12:J12" si="18">$H12*I$1</f>
        <v>5512.5</v>
      </c>
      <c r="J12" s="9">
        <f t="shared" si="18"/>
        <v>4725</v>
      </c>
      <c r="K12" s="9">
        <f t="shared" si="2"/>
        <v>25987.5</v>
      </c>
      <c r="L12" s="9">
        <f t="shared" si="3"/>
        <v>2598.75</v>
      </c>
      <c r="M12" s="9">
        <f t="shared" si="4"/>
        <v>3118.5</v>
      </c>
      <c r="N12" s="10">
        <f t="shared" si="5"/>
        <v>20270.25</v>
      </c>
      <c r="O12" s="11">
        <f t="shared" si="6"/>
        <v>0</v>
      </c>
      <c r="P12" s="10">
        <f t="shared" si="7"/>
        <v>0</v>
      </c>
      <c r="Q12" s="11">
        <f t="shared" si="8"/>
        <v>0</v>
      </c>
      <c r="R12" s="11">
        <f t="shared" si="9"/>
        <v>5000</v>
      </c>
      <c r="S12" s="11">
        <f t="shared" si="10"/>
        <v>0</v>
      </c>
      <c r="T12" s="11"/>
      <c r="U12" s="11"/>
    </row>
    <row r="13" spans="1:26" ht="20.25" customHeight="1">
      <c r="A13" s="6">
        <v>11</v>
      </c>
      <c r="B13" s="6" t="s">
        <v>65</v>
      </c>
      <c r="C13" s="6" t="s">
        <v>66</v>
      </c>
      <c r="D13" s="6" t="s">
        <v>67</v>
      </c>
      <c r="E13" s="6" t="s">
        <v>54</v>
      </c>
      <c r="F13" s="6" t="s">
        <v>55</v>
      </c>
      <c r="G13" s="7">
        <v>31402</v>
      </c>
      <c r="H13" s="8">
        <v>14875</v>
      </c>
      <c r="I13" s="9">
        <f t="shared" ref="I13:J13" si="19">$H13*I$1</f>
        <v>5206.25</v>
      </c>
      <c r="J13" s="9">
        <f t="shared" si="19"/>
        <v>4462.5</v>
      </c>
      <c r="K13" s="9">
        <f t="shared" si="2"/>
        <v>24543.75</v>
      </c>
      <c r="L13" s="9">
        <f t="shared" si="3"/>
        <v>2454.375</v>
      </c>
      <c r="M13" s="9">
        <f t="shared" si="4"/>
        <v>2945.25</v>
      </c>
      <c r="N13" s="10">
        <f t="shared" si="5"/>
        <v>19144.125</v>
      </c>
      <c r="O13" s="11">
        <f t="shared" si="6"/>
        <v>0</v>
      </c>
      <c r="P13" s="10">
        <f t="shared" si="7"/>
        <v>0</v>
      </c>
      <c r="Q13" s="11">
        <f t="shared" si="8"/>
        <v>0</v>
      </c>
      <c r="R13" s="11">
        <f t="shared" si="9"/>
        <v>0</v>
      </c>
      <c r="S13" s="11">
        <f t="shared" si="10"/>
        <v>0</v>
      </c>
      <c r="T13" s="11"/>
      <c r="U13" s="11"/>
    </row>
    <row r="14" spans="1:26" ht="20.25" customHeight="1">
      <c r="A14" s="6">
        <v>12</v>
      </c>
      <c r="B14" s="6" t="s">
        <v>68</v>
      </c>
      <c r="C14" s="6" t="s">
        <v>69</v>
      </c>
      <c r="D14" s="6" t="s">
        <v>37</v>
      </c>
      <c r="E14" s="6" t="s">
        <v>29</v>
      </c>
      <c r="F14" s="6" t="s">
        <v>70</v>
      </c>
      <c r="G14" s="7">
        <v>30376</v>
      </c>
      <c r="H14" s="8">
        <v>21000</v>
      </c>
      <c r="I14" s="9">
        <f t="shared" ref="I14:J14" si="20">$H14*I$1</f>
        <v>7349.9999999999991</v>
      </c>
      <c r="J14" s="9">
        <f t="shared" si="20"/>
        <v>6300</v>
      </c>
      <c r="K14" s="9">
        <f t="shared" si="2"/>
        <v>34650</v>
      </c>
      <c r="L14" s="9">
        <f t="shared" si="3"/>
        <v>3465</v>
      </c>
      <c r="M14" s="9">
        <f t="shared" si="4"/>
        <v>4158</v>
      </c>
      <c r="N14" s="10">
        <f t="shared" si="5"/>
        <v>27027</v>
      </c>
      <c r="O14" s="11">
        <f t="shared" si="6"/>
        <v>0</v>
      </c>
      <c r="P14" s="10">
        <f t="shared" si="7"/>
        <v>0</v>
      </c>
      <c r="Q14" s="11">
        <f t="shared" si="8"/>
        <v>0</v>
      </c>
      <c r="R14" s="11">
        <f t="shared" si="9"/>
        <v>0</v>
      </c>
      <c r="S14" s="11">
        <f t="shared" si="10"/>
        <v>0</v>
      </c>
      <c r="T14" s="11"/>
      <c r="U14" s="11"/>
    </row>
    <row r="15" spans="1:26" ht="20.25" customHeight="1">
      <c r="A15" s="6">
        <v>13</v>
      </c>
      <c r="B15" s="6" t="s">
        <v>71</v>
      </c>
      <c r="C15" s="6" t="s">
        <v>72</v>
      </c>
      <c r="D15" s="6" t="s">
        <v>67</v>
      </c>
      <c r="E15" s="6" t="s">
        <v>33</v>
      </c>
      <c r="F15" s="6" t="s">
        <v>73</v>
      </c>
      <c r="G15" s="7">
        <v>31027</v>
      </c>
      <c r="H15" s="8">
        <v>19250</v>
      </c>
      <c r="I15" s="9">
        <f t="shared" ref="I15:J15" si="21">$H15*I$1</f>
        <v>6737.5</v>
      </c>
      <c r="J15" s="9">
        <f t="shared" si="21"/>
        <v>5775</v>
      </c>
      <c r="K15" s="9">
        <f t="shared" si="2"/>
        <v>31762.5</v>
      </c>
      <c r="L15" s="9">
        <f t="shared" si="3"/>
        <v>3176.25</v>
      </c>
      <c r="M15" s="9">
        <f t="shared" si="4"/>
        <v>3811.5</v>
      </c>
      <c r="N15" s="10">
        <f t="shared" si="5"/>
        <v>24774.75</v>
      </c>
      <c r="O15" s="11">
        <f t="shared" si="6"/>
        <v>0</v>
      </c>
      <c r="P15" s="10">
        <f t="shared" si="7"/>
        <v>0</v>
      </c>
      <c r="Q15" s="11">
        <f t="shared" si="8"/>
        <v>0</v>
      </c>
      <c r="R15" s="11">
        <f t="shared" si="9"/>
        <v>0</v>
      </c>
      <c r="S15" s="11">
        <f t="shared" si="10"/>
        <v>0</v>
      </c>
      <c r="T15" s="11"/>
      <c r="U15" s="11"/>
    </row>
    <row r="16" spans="1:26" ht="20.25" customHeight="1">
      <c r="A16" s="6">
        <v>14</v>
      </c>
      <c r="B16" s="6" t="s">
        <v>74</v>
      </c>
      <c r="C16" s="6" t="s">
        <v>75</v>
      </c>
      <c r="D16" s="6" t="s">
        <v>76</v>
      </c>
      <c r="E16" s="6" t="s">
        <v>38</v>
      </c>
      <c r="F16" s="6" t="s">
        <v>77</v>
      </c>
      <c r="G16" s="7">
        <v>31028</v>
      </c>
      <c r="H16" s="8">
        <v>49000</v>
      </c>
      <c r="I16" s="9">
        <f t="shared" ref="I16:J16" si="22">$H16*I$1</f>
        <v>17150</v>
      </c>
      <c r="J16" s="9">
        <f t="shared" si="22"/>
        <v>14700</v>
      </c>
      <c r="K16" s="9">
        <f t="shared" si="2"/>
        <v>80850</v>
      </c>
      <c r="L16" s="9">
        <f t="shared" si="3"/>
        <v>8085</v>
      </c>
      <c r="M16" s="9">
        <f t="shared" si="4"/>
        <v>9702</v>
      </c>
      <c r="N16" s="10">
        <f t="shared" si="5"/>
        <v>63063</v>
      </c>
      <c r="O16" s="11">
        <f t="shared" si="6"/>
        <v>0</v>
      </c>
      <c r="P16" s="10">
        <f t="shared" si="7"/>
        <v>0</v>
      </c>
      <c r="Q16" s="11">
        <f t="shared" si="8"/>
        <v>0</v>
      </c>
      <c r="R16" s="11">
        <f t="shared" si="9"/>
        <v>0</v>
      </c>
      <c r="S16" s="11">
        <f t="shared" si="10"/>
        <v>0</v>
      </c>
      <c r="T16" s="11"/>
      <c r="U16" s="11"/>
    </row>
    <row r="17" spans="1:21" ht="20.25" customHeight="1">
      <c r="A17" s="6">
        <v>15</v>
      </c>
      <c r="B17" s="6" t="s">
        <v>78</v>
      </c>
      <c r="C17" s="6" t="s">
        <v>79</v>
      </c>
      <c r="D17" s="6" t="s">
        <v>53</v>
      </c>
      <c r="E17" s="6" t="s">
        <v>29</v>
      </c>
      <c r="F17" s="6" t="s">
        <v>70</v>
      </c>
      <c r="G17" s="7">
        <v>31029</v>
      </c>
      <c r="H17" s="8">
        <v>14875</v>
      </c>
      <c r="I17" s="9">
        <f t="shared" ref="I17:J17" si="23">$H17*I$1</f>
        <v>5206.25</v>
      </c>
      <c r="J17" s="9">
        <f t="shared" si="23"/>
        <v>4462.5</v>
      </c>
      <c r="K17" s="9">
        <f t="shared" si="2"/>
        <v>24543.75</v>
      </c>
      <c r="L17" s="9">
        <f t="shared" si="3"/>
        <v>2454.375</v>
      </c>
      <c r="M17" s="9">
        <f t="shared" si="4"/>
        <v>2945.25</v>
      </c>
      <c r="N17" s="10">
        <f t="shared" si="5"/>
        <v>19144.125</v>
      </c>
      <c r="O17" s="11">
        <f t="shared" si="6"/>
        <v>0</v>
      </c>
      <c r="P17" s="10">
        <f t="shared" si="7"/>
        <v>0</v>
      </c>
      <c r="Q17" s="11">
        <f t="shared" si="8"/>
        <v>0</v>
      </c>
      <c r="R17" s="11">
        <f t="shared" si="9"/>
        <v>0</v>
      </c>
      <c r="S17" s="11">
        <f t="shared" si="10"/>
        <v>6000</v>
      </c>
      <c r="T17" s="11"/>
      <c r="U17" s="11"/>
    </row>
    <row r="18" spans="1:21" ht="20.25" customHeight="1">
      <c r="A18" s="6">
        <v>16</v>
      </c>
      <c r="B18" s="6" t="s">
        <v>80</v>
      </c>
      <c r="C18" s="6" t="s">
        <v>81</v>
      </c>
      <c r="D18" s="6" t="s">
        <v>53</v>
      </c>
      <c r="E18" s="6" t="s">
        <v>29</v>
      </c>
      <c r="F18" s="6" t="s">
        <v>82</v>
      </c>
      <c r="G18" s="7">
        <v>31030</v>
      </c>
      <c r="H18" s="8">
        <v>14875</v>
      </c>
      <c r="I18" s="9">
        <f t="shared" ref="I18:J18" si="24">$H18*I$1</f>
        <v>5206.25</v>
      </c>
      <c r="J18" s="9">
        <f t="shared" si="24"/>
        <v>4462.5</v>
      </c>
      <c r="K18" s="9">
        <f t="shared" si="2"/>
        <v>24543.75</v>
      </c>
      <c r="L18" s="9">
        <f t="shared" si="3"/>
        <v>2454.375</v>
      </c>
      <c r="M18" s="9">
        <f t="shared" si="4"/>
        <v>2945.25</v>
      </c>
      <c r="N18" s="10">
        <f t="shared" si="5"/>
        <v>19144.125</v>
      </c>
      <c r="O18" s="11">
        <f t="shared" si="6"/>
        <v>0</v>
      </c>
      <c r="P18" s="10">
        <f t="shared" si="7"/>
        <v>0</v>
      </c>
      <c r="Q18" s="11">
        <f t="shared" si="8"/>
        <v>0</v>
      </c>
      <c r="R18" s="11">
        <f t="shared" si="9"/>
        <v>0</v>
      </c>
      <c r="S18" s="11">
        <f t="shared" si="10"/>
        <v>6000</v>
      </c>
      <c r="T18" s="11"/>
      <c r="U18" s="11"/>
    </row>
    <row r="19" spans="1:21" ht="20.25" customHeight="1">
      <c r="A19" s="6">
        <v>17</v>
      </c>
      <c r="B19" s="6" t="s">
        <v>83</v>
      </c>
      <c r="C19" s="6" t="s">
        <v>84</v>
      </c>
      <c r="D19" s="6" t="s">
        <v>37</v>
      </c>
      <c r="E19" s="6" t="s">
        <v>33</v>
      </c>
      <c r="F19" s="6" t="s">
        <v>34</v>
      </c>
      <c r="G19" s="7">
        <v>30376</v>
      </c>
      <c r="H19" s="8">
        <v>15750</v>
      </c>
      <c r="I19" s="9">
        <f t="shared" ref="I19:J19" si="25">$H19*I$1</f>
        <v>5512.5</v>
      </c>
      <c r="J19" s="9">
        <f t="shared" si="25"/>
        <v>4725</v>
      </c>
      <c r="K19" s="9">
        <f t="shared" si="2"/>
        <v>25987.5</v>
      </c>
      <c r="L19" s="9">
        <f t="shared" si="3"/>
        <v>2598.75</v>
      </c>
      <c r="M19" s="9">
        <f t="shared" si="4"/>
        <v>3118.5</v>
      </c>
      <c r="N19" s="10">
        <f t="shared" si="5"/>
        <v>20270.25</v>
      </c>
      <c r="O19" s="11">
        <f t="shared" si="6"/>
        <v>0</v>
      </c>
      <c r="P19" s="10">
        <f t="shared" si="7"/>
        <v>0</v>
      </c>
      <c r="Q19" s="11">
        <f t="shared" si="8"/>
        <v>0</v>
      </c>
      <c r="R19" s="11">
        <f t="shared" si="9"/>
        <v>0</v>
      </c>
      <c r="S19" s="11">
        <f t="shared" si="10"/>
        <v>0</v>
      </c>
      <c r="T19" s="11"/>
      <c r="U19" s="11"/>
    </row>
    <row r="20" spans="1:21" ht="20.25" customHeight="1">
      <c r="A20" s="6">
        <v>18</v>
      </c>
      <c r="B20" s="6" t="s">
        <v>85</v>
      </c>
      <c r="C20" s="6" t="s">
        <v>86</v>
      </c>
      <c r="D20" s="6" t="s">
        <v>37</v>
      </c>
      <c r="E20" s="6" t="s">
        <v>54</v>
      </c>
      <c r="F20" s="6" t="s">
        <v>87</v>
      </c>
      <c r="G20" s="7">
        <v>30376</v>
      </c>
      <c r="H20" s="8">
        <v>15750</v>
      </c>
      <c r="I20" s="9">
        <f t="shared" ref="I20:J20" si="26">$H20*I$1</f>
        <v>5512.5</v>
      </c>
      <c r="J20" s="9">
        <f t="shared" si="26"/>
        <v>4725</v>
      </c>
      <c r="K20" s="9">
        <f t="shared" si="2"/>
        <v>25987.5</v>
      </c>
      <c r="L20" s="9">
        <f t="shared" si="3"/>
        <v>2598.75</v>
      </c>
      <c r="M20" s="9">
        <f t="shared" si="4"/>
        <v>3118.5</v>
      </c>
      <c r="N20" s="10">
        <f t="shared" si="5"/>
        <v>20270.25</v>
      </c>
      <c r="O20" s="11">
        <f t="shared" si="6"/>
        <v>0</v>
      </c>
      <c r="P20" s="10">
        <f t="shared" si="7"/>
        <v>0</v>
      </c>
      <c r="Q20" s="11">
        <f t="shared" si="8"/>
        <v>0</v>
      </c>
      <c r="R20" s="11">
        <f t="shared" si="9"/>
        <v>0</v>
      </c>
      <c r="S20" s="11">
        <f t="shared" si="10"/>
        <v>0</v>
      </c>
      <c r="T20" s="11"/>
      <c r="U20" s="11"/>
    </row>
    <row r="21" spans="1:21" ht="20.25" customHeight="1">
      <c r="A21" s="6">
        <v>19</v>
      </c>
      <c r="B21" s="6" t="s">
        <v>88</v>
      </c>
      <c r="C21" s="6" t="s">
        <v>89</v>
      </c>
      <c r="D21" s="6" t="s">
        <v>42</v>
      </c>
      <c r="E21" s="6" t="s">
        <v>29</v>
      </c>
      <c r="F21" s="6" t="s">
        <v>50</v>
      </c>
      <c r="G21" s="7">
        <v>31637</v>
      </c>
      <c r="H21" s="8">
        <v>10500</v>
      </c>
      <c r="I21" s="9">
        <f t="shared" ref="I21:J21" si="27">$H21*I$1</f>
        <v>3674.9999999999995</v>
      </c>
      <c r="J21" s="9">
        <f t="shared" si="27"/>
        <v>3150</v>
      </c>
      <c r="K21" s="9">
        <f t="shared" si="2"/>
        <v>17325</v>
      </c>
      <c r="L21" s="9">
        <f t="shared" si="3"/>
        <v>1732.5</v>
      </c>
      <c r="M21" s="9">
        <f t="shared" si="4"/>
        <v>2079</v>
      </c>
      <c r="N21" s="10">
        <f t="shared" si="5"/>
        <v>13513.5</v>
      </c>
      <c r="O21" s="11">
        <f t="shared" si="6"/>
        <v>0</v>
      </c>
      <c r="P21" s="10">
        <f t="shared" si="7"/>
        <v>0</v>
      </c>
      <c r="Q21" s="11">
        <f t="shared" si="8"/>
        <v>0</v>
      </c>
      <c r="R21" s="11">
        <f t="shared" si="9"/>
        <v>5000</v>
      </c>
      <c r="S21" s="11">
        <f t="shared" si="10"/>
        <v>0</v>
      </c>
      <c r="T21" s="11"/>
      <c r="U21" s="11"/>
    </row>
    <row r="22" spans="1:21" ht="20.25" customHeight="1">
      <c r="A22" s="6">
        <v>20</v>
      </c>
      <c r="B22" s="6" t="s">
        <v>90</v>
      </c>
      <c r="C22" s="6" t="s">
        <v>91</v>
      </c>
      <c r="D22" s="6" t="s">
        <v>42</v>
      </c>
      <c r="E22" s="6" t="s">
        <v>29</v>
      </c>
      <c r="F22" s="6" t="s">
        <v>82</v>
      </c>
      <c r="G22" s="7">
        <v>36316</v>
      </c>
      <c r="H22" s="8">
        <v>5950</v>
      </c>
      <c r="I22" s="9">
        <f t="shared" ref="I22:J22" si="28">$H22*I$1</f>
        <v>2082.5</v>
      </c>
      <c r="J22" s="9">
        <f t="shared" si="28"/>
        <v>1785</v>
      </c>
      <c r="K22" s="9">
        <f t="shared" si="2"/>
        <v>9817.5</v>
      </c>
      <c r="L22" s="9">
        <f t="shared" si="3"/>
        <v>981.75</v>
      </c>
      <c r="M22" s="9">
        <f t="shared" si="4"/>
        <v>1178.0999999999999</v>
      </c>
      <c r="N22" s="10">
        <f t="shared" si="5"/>
        <v>7657.65</v>
      </c>
      <c r="O22" s="11">
        <f t="shared" si="6"/>
        <v>3000</v>
      </c>
      <c r="P22" s="10">
        <f t="shared" si="7"/>
        <v>0</v>
      </c>
      <c r="Q22" s="11">
        <f t="shared" si="8"/>
        <v>0</v>
      </c>
      <c r="R22" s="11">
        <f t="shared" si="9"/>
        <v>5000</v>
      </c>
      <c r="S22" s="11">
        <f t="shared" si="10"/>
        <v>0</v>
      </c>
      <c r="T22" s="11"/>
      <c r="U22" s="11"/>
    </row>
    <row r="23" spans="1:21" ht="20.25" customHeight="1">
      <c r="A23" s="6">
        <v>21</v>
      </c>
      <c r="B23" s="6" t="s">
        <v>92</v>
      </c>
      <c r="C23" s="6" t="s">
        <v>93</v>
      </c>
      <c r="D23" s="6" t="s">
        <v>42</v>
      </c>
      <c r="E23" s="6" t="s">
        <v>33</v>
      </c>
      <c r="F23" s="6" t="s">
        <v>94</v>
      </c>
      <c r="G23" s="7">
        <v>36317</v>
      </c>
      <c r="H23" s="8">
        <v>7875</v>
      </c>
      <c r="I23" s="9">
        <f t="shared" ref="I23:J23" si="29">$H23*I$1</f>
        <v>2756.25</v>
      </c>
      <c r="J23" s="9">
        <f t="shared" si="29"/>
        <v>2362.5</v>
      </c>
      <c r="K23" s="9">
        <f t="shared" si="2"/>
        <v>12993.75</v>
      </c>
      <c r="L23" s="9">
        <f t="shared" si="3"/>
        <v>1299.375</v>
      </c>
      <c r="M23" s="9">
        <f t="shared" si="4"/>
        <v>1559.25</v>
      </c>
      <c r="N23" s="10">
        <f t="shared" si="5"/>
        <v>10135.125</v>
      </c>
      <c r="O23" s="11">
        <f t="shared" si="6"/>
        <v>3000</v>
      </c>
      <c r="P23" s="10">
        <f t="shared" si="7"/>
        <v>0</v>
      </c>
      <c r="Q23" s="11">
        <f t="shared" si="8"/>
        <v>0</v>
      </c>
      <c r="R23" s="11">
        <f t="shared" si="9"/>
        <v>5000</v>
      </c>
      <c r="S23" s="11">
        <f t="shared" si="10"/>
        <v>0</v>
      </c>
      <c r="T23" s="11"/>
      <c r="U23" s="11"/>
    </row>
    <row r="24" spans="1:21" ht="20.25" customHeight="1">
      <c r="A24" s="6">
        <v>22</v>
      </c>
      <c r="B24" s="6" t="s">
        <v>95</v>
      </c>
      <c r="C24" s="6" t="s">
        <v>96</v>
      </c>
      <c r="D24" s="6" t="s">
        <v>42</v>
      </c>
      <c r="E24" s="6" t="s">
        <v>54</v>
      </c>
      <c r="F24" s="6" t="s">
        <v>87</v>
      </c>
      <c r="G24" s="7">
        <v>36318</v>
      </c>
      <c r="H24" s="8">
        <v>7875</v>
      </c>
      <c r="I24" s="9">
        <f t="shared" ref="I24:J24" si="30">$H24*I$1</f>
        <v>2756.25</v>
      </c>
      <c r="J24" s="9">
        <f t="shared" si="30"/>
        <v>2362.5</v>
      </c>
      <c r="K24" s="9">
        <f t="shared" si="2"/>
        <v>12993.75</v>
      </c>
      <c r="L24" s="9">
        <f t="shared" si="3"/>
        <v>1299.375</v>
      </c>
      <c r="M24" s="9">
        <f t="shared" si="4"/>
        <v>1559.25</v>
      </c>
      <c r="N24" s="10">
        <f t="shared" si="5"/>
        <v>10135.125</v>
      </c>
      <c r="O24" s="11">
        <f t="shared" si="6"/>
        <v>3000</v>
      </c>
      <c r="P24" s="10">
        <f t="shared" si="7"/>
        <v>0</v>
      </c>
      <c r="Q24" s="11">
        <f t="shared" si="8"/>
        <v>0</v>
      </c>
      <c r="R24" s="11">
        <f t="shared" si="9"/>
        <v>5000</v>
      </c>
      <c r="S24" s="11">
        <f t="shared" si="10"/>
        <v>0</v>
      </c>
      <c r="T24" s="11"/>
      <c r="U24" s="11"/>
    </row>
    <row r="25" spans="1:21" ht="20.25" customHeight="1">
      <c r="A25" s="6">
        <v>23</v>
      </c>
      <c r="B25" s="6" t="s">
        <v>97</v>
      </c>
      <c r="C25" s="6" t="s">
        <v>98</v>
      </c>
      <c r="D25" s="6" t="s">
        <v>42</v>
      </c>
      <c r="E25" s="6" t="s">
        <v>54</v>
      </c>
      <c r="F25" s="6" t="s">
        <v>55</v>
      </c>
      <c r="G25" s="7">
        <v>36319</v>
      </c>
      <c r="H25" s="8">
        <v>7875</v>
      </c>
      <c r="I25" s="9">
        <f t="shared" ref="I25:J25" si="31">$H25*I$1</f>
        <v>2756.25</v>
      </c>
      <c r="J25" s="9">
        <f t="shared" si="31"/>
        <v>2362.5</v>
      </c>
      <c r="K25" s="9">
        <f t="shared" si="2"/>
        <v>12993.75</v>
      </c>
      <c r="L25" s="9">
        <f t="shared" si="3"/>
        <v>1299.375</v>
      </c>
      <c r="M25" s="9">
        <f t="shared" si="4"/>
        <v>1559.25</v>
      </c>
      <c r="N25" s="10">
        <f t="shared" si="5"/>
        <v>10135.125</v>
      </c>
      <c r="O25" s="11">
        <f t="shared" si="6"/>
        <v>3000</v>
      </c>
      <c r="P25" s="10">
        <f t="shared" si="7"/>
        <v>0</v>
      </c>
      <c r="Q25" s="11">
        <f t="shared" si="8"/>
        <v>0</v>
      </c>
      <c r="R25" s="11">
        <f t="shared" si="9"/>
        <v>5000</v>
      </c>
      <c r="S25" s="11">
        <f t="shared" si="10"/>
        <v>0</v>
      </c>
      <c r="T25" s="11"/>
      <c r="U25" s="11"/>
    </row>
    <row r="26" spans="1:21" ht="20.25" customHeight="1">
      <c r="A26" s="6">
        <v>24</v>
      </c>
      <c r="B26" s="6" t="s">
        <v>99</v>
      </c>
      <c r="C26" s="6" t="s">
        <v>100</v>
      </c>
      <c r="D26" s="6" t="s">
        <v>28</v>
      </c>
      <c r="E26" s="6" t="s">
        <v>54</v>
      </c>
      <c r="F26" s="6" t="s">
        <v>87</v>
      </c>
      <c r="G26" s="7">
        <v>29362</v>
      </c>
      <c r="H26" s="8">
        <v>14875</v>
      </c>
      <c r="I26" s="9">
        <f t="shared" ref="I26:J26" si="32">$H26*I$1</f>
        <v>5206.25</v>
      </c>
      <c r="J26" s="9">
        <f t="shared" si="32"/>
        <v>4462.5</v>
      </c>
      <c r="K26" s="9">
        <f t="shared" si="2"/>
        <v>24543.75</v>
      </c>
      <c r="L26" s="9">
        <f t="shared" si="3"/>
        <v>2454.375</v>
      </c>
      <c r="M26" s="9">
        <f t="shared" si="4"/>
        <v>2945.25</v>
      </c>
      <c r="N26" s="10">
        <f t="shared" si="5"/>
        <v>19144.125</v>
      </c>
      <c r="O26" s="11">
        <f t="shared" si="6"/>
        <v>0</v>
      </c>
      <c r="P26" s="10">
        <f t="shared" si="7"/>
        <v>1487.5</v>
      </c>
      <c r="Q26" s="11">
        <f t="shared" si="8"/>
        <v>0</v>
      </c>
      <c r="R26" s="11">
        <f t="shared" si="9"/>
        <v>5000</v>
      </c>
      <c r="S26" s="11">
        <f t="shared" si="10"/>
        <v>0</v>
      </c>
      <c r="T26" s="11"/>
      <c r="U26" s="11"/>
    </row>
    <row r="27" spans="1:21" ht="20.25" customHeight="1">
      <c r="A27" s="6">
        <v>25</v>
      </c>
      <c r="B27" s="6" t="s">
        <v>101</v>
      </c>
      <c r="C27" s="6" t="s">
        <v>102</v>
      </c>
      <c r="D27" s="6" t="s">
        <v>46</v>
      </c>
      <c r="E27" s="6" t="s">
        <v>38</v>
      </c>
      <c r="F27" s="6" t="s">
        <v>103</v>
      </c>
      <c r="G27" s="7">
        <v>36274</v>
      </c>
      <c r="H27" s="8">
        <v>7875</v>
      </c>
      <c r="I27" s="9">
        <f t="shared" ref="I27:J27" si="33">$H27*I$1</f>
        <v>2756.25</v>
      </c>
      <c r="J27" s="9">
        <f t="shared" si="33"/>
        <v>2362.5</v>
      </c>
      <c r="K27" s="9">
        <f t="shared" si="2"/>
        <v>12993.75</v>
      </c>
      <c r="L27" s="9">
        <f t="shared" si="3"/>
        <v>1299.375</v>
      </c>
      <c r="M27" s="9">
        <f t="shared" si="4"/>
        <v>1559.25</v>
      </c>
      <c r="N27" s="10">
        <f t="shared" si="5"/>
        <v>10135.125</v>
      </c>
      <c r="O27" s="11">
        <f t="shared" si="6"/>
        <v>3000</v>
      </c>
      <c r="P27" s="10">
        <f t="shared" si="7"/>
        <v>0</v>
      </c>
      <c r="Q27" s="11">
        <f t="shared" si="8"/>
        <v>0</v>
      </c>
      <c r="R27" s="11">
        <f t="shared" si="9"/>
        <v>0</v>
      </c>
      <c r="S27" s="11">
        <f t="shared" si="10"/>
        <v>0</v>
      </c>
      <c r="T27" s="11"/>
      <c r="U27" s="11"/>
    </row>
    <row r="28" spans="1:21" ht="20.25" customHeight="1">
      <c r="A28" s="6">
        <v>26</v>
      </c>
      <c r="B28" s="6" t="s">
        <v>104</v>
      </c>
      <c r="C28" s="6" t="s">
        <v>105</v>
      </c>
      <c r="D28" s="6" t="s">
        <v>28</v>
      </c>
      <c r="E28" s="6" t="s">
        <v>33</v>
      </c>
      <c r="F28" s="6" t="s">
        <v>34</v>
      </c>
      <c r="G28" s="7">
        <v>30225</v>
      </c>
      <c r="H28" s="8">
        <v>19250</v>
      </c>
      <c r="I28" s="9">
        <f t="shared" ref="I28:J28" si="34">$H28*I$1</f>
        <v>6737.5</v>
      </c>
      <c r="J28" s="9">
        <f t="shared" si="34"/>
        <v>5775</v>
      </c>
      <c r="K28" s="9">
        <f t="shared" si="2"/>
        <v>31762.5</v>
      </c>
      <c r="L28" s="9">
        <f t="shared" si="3"/>
        <v>3176.25</v>
      </c>
      <c r="M28" s="9">
        <f t="shared" si="4"/>
        <v>3811.5</v>
      </c>
      <c r="N28" s="10">
        <f t="shared" si="5"/>
        <v>24774.75</v>
      </c>
      <c r="O28" s="11">
        <f t="shared" si="6"/>
        <v>0</v>
      </c>
      <c r="P28" s="10">
        <f t="shared" si="7"/>
        <v>1925</v>
      </c>
      <c r="Q28" s="11">
        <f t="shared" si="8"/>
        <v>0</v>
      </c>
      <c r="R28" s="11">
        <f t="shared" si="9"/>
        <v>5000</v>
      </c>
      <c r="S28" s="11">
        <f t="shared" si="10"/>
        <v>0</v>
      </c>
      <c r="T28" s="11"/>
      <c r="U28" s="11"/>
    </row>
    <row r="29" spans="1:21" ht="20.25" customHeight="1">
      <c r="A29" s="6">
        <v>27</v>
      </c>
      <c r="B29" s="6" t="s">
        <v>106</v>
      </c>
      <c r="C29" s="6" t="s">
        <v>107</v>
      </c>
      <c r="D29" s="6" t="s">
        <v>28</v>
      </c>
      <c r="E29" s="6" t="s">
        <v>38</v>
      </c>
      <c r="F29" s="6" t="s">
        <v>108</v>
      </c>
      <c r="G29" s="7">
        <v>33787</v>
      </c>
      <c r="H29" s="8">
        <v>13125</v>
      </c>
      <c r="I29" s="9">
        <f t="shared" ref="I29:J29" si="35">$H29*I$1</f>
        <v>4593.75</v>
      </c>
      <c r="J29" s="9">
        <f t="shared" si="35"/>
        <v>3937.5</v>
      </c>
      <c r="K29" s="9">
        <f t="shared" si="2"/>
        <v>21656.25</v>
      </c>
      <c r="L29" s="9">
        <f t="shared" si="3"/>
        <v>2165.625</v>
      </c>
      <c r="M29" s="9">
        <f t="shared" si="4"/>
        <v>2598.75</v>
      </c>
      <c r="N29" s="10">
        <f t="shared" si="5"/>
        <v>16891.875</v>
      </c>
      <c r="O29" s="11">
        <f t="shared" si="6"/>
        <v>0</v>
      </c>
      <c r="P29" s="10">
        <f t="shared" si="7"/>
        <v>1312.5</v>
      </c>
      <c r="Q29" s="11">
        <f t="shared" si="8"/>
        <v>0</v>
      </c>
      <c r="R29" s="11">
        <f t="shared" si="9"/>
        <v>5000</v>
      </c>
      <c r="S29" s="11">
        <f t="shared" si="10"/>
        <v>0</v>
      </c>
      <c r="T29" s="11"/>
      <c r="U29" s="11"/>
    </row>
    <row r="30" spans="1:21" ht="20.25" customHeight="1">
      <c r="A30" s="6">
        <v>28</v>
      </c>
      <c r="B30" s="6" t="s">
        <v>109</v>
      </c>
      <c r="C30" s="6" t="s">
        <v>110</v>
      </c>
      <c r="D30" s="6" t="s">
        <v>46</v>
      </c>
      <c r="E30" s="6" t="s">
        <v>54</v>
      </c>
      <c r="F30" s="6" t="s">
        <v>111</v>
      </c>
      <c r="G30" s="7">
        <v>34777</v>
      </c>
      <c r="H30" s="8">
        <v>10500</v>
      </c>
      <c r="I30" s="9">
        <f t="shared" ref="I30:J30" si="36">$H30*I$1</f>
        <v>3674.9999999999995</v>
      </c>
      <c r="J30" s="9">
        <f t="shared" si="36"/>
        <v>3150</v>
      </c>
      <c r="K30" s="9">
        <f t="shared" si="2"/>
        <v>17325</v>
      </c>
      <c r="L30" s="9">
        <f t="shared" si="3"/>
        <v>1732.5</v>
      </c>
      <c r="M30" s="9">
        <f t="shared" si="4"/>
        <v>2079</v>
      </c>
      <c r="N30" s="10">
        <f t="shared" si="5"/>
        <v>13513.5</v>
      </c>
      <c r="O30" s="11">
        <f t="shared" si="6"/>
        <v>0</v>
      </c>
      <c r="P30" s="10">
        <f t="shared" si="7"/>
        <v>0</v>
      </c>
      <c r="Q30" s="11">
        <f t="shared" si="8"/>
        <v>0</v>
      </c>
      <c r="R30" s="11">
        <f t="shared" si="9"/>
        <v>0</v>
      </c>
      <c r="S30" s="11">
        <f t="shared" si="10"/>
        <v>0</v>
      </c>
      <c r="T30" s="11"/>
      <c r="U30" s="11"/>
    </row>
    <row r="31" spans="1:21" ht="20.25" customHeight="1">
      <c r="A31" s="6">
        <v>29</v>
      </c>
      <c r="B31" s="6" t="s">
        <v>112</v>
      </c>
      <c r="C31" s="6" t="s">
        <v>113</v>
      </c>
      <c r="D31" s="6" t="s">
        <v>37</v>
      </c>
      <c r="E31" s="6" t="s">
        <v>29</v>
      </c>
      <c r="F31" s="6" t="s">
        <v>82</v>
      </c>
      <c r="G31" s="7">
        <v>35189</v>
      </c>
      <c r="H31" s="8">
        <v>9625</v>
      </c>
      <c r="I31" s="9">
        <f t="shared" ref="I31:J31" si="37">$H31*I$1</f>
        <v>3368.75</v>
      </c>
      <c r="J31" s="9">
        <f t="shared" si="37"/>
        <v>2887.5</v>
      </c>
      <c r="K31" s="9">
        <f t="shared" si="2"/>
        <v>15881.25</v>
      </c>
      <c r="L31" s="9">
        <f t="shared" si="3"/>
        <v>1588.125</v>
      </c>
      <c r="M31" s="9">
        <f t="shared" si="4"/>
        <v>1905.75</v>
      </c>
      <c r="N31" s="10">
        <f t="shared" si="5"/>
        <v>12387.375</v>
      </c>
      <c r="O31" s="11">
        <f t="shared" si="6"/>
        <v>3000</v>
      </c>
      <c r="P31" s="10">
        <f t="shared" si="7"/>
        <v>0</v>
      </c>
      <c r="Q31" s="11">
        <f t="shared" si="8"/>
        <v>962.5</v>
      </c>
      <c r="R31" s="11">
        <f t="shared" si="9"/>
        <v>0</v>
      </c>
      <c r="S31" s="11">
        <f t="shared" si="10"/>
        <v>0</v>
      </c>
      <c r="T31" s="11"/>
      <c r="U31" s="11"/>
    </row>
    <row r="32" spans="1:21" ht="20.25" customHeight="1">
      <c r="A32" s="6">
        <v>30</v>
      </c>
      <c r="B32" s="6" t="s">
        <v>114</v>
      </c>
      <c r="C32" s="6" t="s">
        <v>115</v>
      </c>
      <c r="D32" s="6" t="s">
        <v>53</v>
      </c>
      <c r="E32" s="6" t="s">
        <v>33</v>
      </c>
      <c r="F32" s="6" t="s">
        <v>94</v>
      </c>
      <c r="G32" s="7">
        <v>32435</v>
      </c>
      <c r="H32" s="8">
        <v>14175</v>
      </c>
      <c r="I32" s="9">
        <f t="shared" ref="I32:J32" si="38">$H32*I$1</f>
        <v>4961.25</v>
      </c>
      <c r="J32" s="9">
        <f t="shared" si="38"/>
        <v>4252.5</v>
      </c>
      <c r="K32" s="9">
        <f t="shared" si="2"/>
        <v>23388.75</v>
      </c>
      <c r="L32" s="9">
        <f t="shared" si="3"/>
        <v>2338.875</v>
      </c>
      <c r="M32" s="9">
        <f t="shared" si="4"/>
        <v>2806.65</v>
      </c>
      <c r="N32" s="10">
        <f t="shared" si="5"/>
        <v>18243.224999999999</v>
      </c>
      <c r="O32" s="11">
        <f t="shared" si="6"/>
        <v>0</v>
      </c>
      <c r="P32" s="10">
        <f t="shared" si="7"/>
        <v>0</v>
      </c>
      <c r="Q32" s="11">
        <f t="shared" si="8"/>
        <v>0</v>
      </c>
      <c r="R32" s="11">
        <f t="shared" si="9"/>
        <v>0</v>
      </c>
      <c r="S32" s="11">
        <f t="shared" si="10"/>
        <v>6000</v>
      </c>
      <c r="T32" s="11"/>
      <c r="U32" s="11"/>
    </row>
    <row r="33" spans="1:21" ht="20.25" customHeight="1">
      <c r="A33" s="6">
        <v>31</v>
      </c>
      <c r="B33" s="6" t="s">
        <v>116</v>
      </c>
      <c r="C33" s="6" t="s">
        <v>117</v>
      </c>
      <c r="D33" s="6" t="s">
        <v>46</v>
      </c>
      <c r="E33" s="6" t="s">
        <v>29</v>
      </c>
      <c r="F33" s="6" t="s">
        <v>58</v>
      </c>
      <c r="G33" s="7">
        <v>30225</v>
      </c>
      <c r="H33" s="8">
        <v>15750</v>
      </c>
      <c r="I33" s="9">
        <f t="shared" ref="I33:J33" si="39">$H33*I$1</f>
        <v>5512.5</v>
      </c>
      <c r="J33" s="9">
        <f t="shared" si="39"/>
        <v>4725</v>
      </c>
      <c r="K33" s="9">
        <f t="shared" si="2"/>
        <v>25987.5</v>
      </c>
      <c r="L33" s="9">
        <f t="shared" si="3"/>
        <v>2598.75</v>
      </c>
      <c r="M33" s="9">
        <f t="shared" si="4"/>
        <v>3118.5</v>
      </c>
      <c r="N33" s="10">
        <f t="shared" si="5"/>
        <v>20270.25</v>
      </c>
      <c r="O33" s="11">
        <f t="shared" si="6"/>
        <v>0</v>
      </c>
      <c r="P33" s="10">
        <f t="shared" si="7"/>
        <v>0</v>
      </c>
      <c r="Q33" s="11">
        <f t="shared" si="8"/>
        <v>0</v>
      </c>
      <c r="R33" s="11">
        <f t="shared" si="9"/>
        <v>0</v>
      </c>
      <c r="S33" s="11">
        <f t="shared" si="10"/>
        <v>0</v>
      </c>
      <c r="T33" s="11"/>
      <c r="U33" s="11"/>
    </row>
    <row r="34" spans="1:21" ht="20.25" customHeight="1">
      <c r="A34" s="6">
        <v>32</v>
      </c>
      <c r="B34" s="6" t="s">
        <v>118</v>
      </c>
      <c r="C34" s="6" t="s">
        <v>119</v>
      </c>
      <c r="D34" s="6" t="s">
        <v>120</v>
      </c>
      <c r="E34" s="6" t="s">
        <v>38</v>
      </c>
      <c r="F34" s="6" t="s">
        <v>103</v>
      </c>
      <c r="G34" s="7">
        <v>30225</v>
      </c>
      <c r="H34" s="8">
        <v>15750</v>
      </c>
      <c r="I34" s="9">
        <f t="shared" ref="I34:J34" si="40">$H34*I$1</f>
        <v>5512.5</v>
      </c>
      <c r="J34" s="9">
        <f t="shared" si="40"/>
        <v>4725</v>
      </c>
      <c r="K34" s="9">
        <f t="shared" si="2"/>
        <v>25987.5</v>
      </c>
      <c r="L34" s="9">
        <f t="shared" si="3"/>
        <v>2598.75</v>
      </c>
      <c r="M34" s="9">
        <f t="shared" si="4"/>
        <v>3118.5</v>
      </c>
      <c r="N34" s="10">
        <f t="shared" si="5"/>
        <v>20270.25</v>
      </c>
      <c r="O34" s="11">
        <f t="shared" si="6"/>
        <v>0</v>
      </c>
      <c r="P34" s="10">
        <f t="shared" si="7"/>
        <v>0</v>
      </c>
      <c r="Q34" s="11">
        <f t="shared" si="8"/>
        <v>0</v>
      </c>
      <c r="R34" s="11">
        <f t="shared" si="9"/>
        <v>0</v>
      </c>
      <c r="S34" s="11">
        <f t="shared" si="10"/>
        <v>6000</v>
      </c>
      <c r="T34" s="11"/>
      <c r="U34" s="11"/>
    </row>
    <row r="35" spans="1:21" ht="20.25" customHeight="1">
      <c r="A35" s="6">
        <v>33</v>
      </c>
      <c r="B35" s="6" t="s">
        <v>121</v>
      </c>
      <c r="C35" s="6" t="s">
        <v>122</v>
      </c>
      <c r="D35" s="6" t="s">
        <v>120</v>
      </c>
      <c r="E35" s="6" t="s">
        <v>29</v>
      </c>
      <c r="F35" s="6" t="s">
        <v>61</v>
      </c>
      <c r="G35" s="7">
        <v>35618</v>
      </c>
      <c r="H35" s="8">
        <v>7000</v>
      </c>
      <c r="I35" s="9">
        <f t="shared" ref="I35:J35" si="41">$H35*I$1</f>
        <v>2450</v>
      </c>
      <c r="J35" s="9">
        <f t="shared" si="41"/>
        <v>2100</v>
      </c>
      <c r="K35" s="9">
        <f t="shared" si="2"/>
        <v>11550</v>
      </c>
      <c r="L35" s="9">
        <f t="shared" si="3"/>
        <v>1155</v>
      </c>
      <c r="M35" s="9">
        <f t="shared" si="4"/>
        <v>1386</v>
      </c>
      <c r="N35" s="10">
        <f t="shared" si="5"/>
        <v>9009</v>
      </c>
      <c r="O35" s="11">
        <f t="shared" si="6"/>
        <v>3000</v>
      </c>
      <c r="P35" s="10">
        <f t="shared" si="7"/>
        <v>0</v>
      </c>
      <c r="Q35" s="11">
        <f t="shared" si="8"/>
        <v>0</v>
      </c>
      <c r="R35" s="11">
        <f t="shared" si="9"/>
        <v>0</v>
      </c>
      <c r="S35" s="11">
        <f t="shared" si="10"/>
        <v>0</v>
      </c>
      <c r="T35" s="11"/>
      <c r="U35" s="11"/>
    </row>
    <row r="36" spans="1:21" ht="20.25" customHeight="1">
      <c r="A36" s="6">
        <v>34</v>
      </c>
      <c r="B36" s="6" t="s">
        <v>123</v>
      </c>
      <c r="C36" s="6" t="s">
        <v>124</v>
      </c>
      <c r="D36" s="6" t="s">
        <v>120</v>
      </c>
      <c r="E36" s="6" t="s">
        <v>29</v>
      </c>
      <c r="F36" s="6" t="s">
        <v>125</v>
      </c>
      <c r="G36" s="7">
        <v>33510</v>
      </c>
      <c r="H36" s="8">
        <v>8750</v>
      </c>
      <c r="I36" s="9">
        <f t="shared" ref="I36:J36" si="42">$H36*I$1</f>
        <v>3062.5</v>
      </c>
      <c r="J36" s="9">
        <f t="shared" si="42"/>
        <v>2625</v>
      </c>
      <c r="K36" s="9">
        <f t="shared" si="2"/>
        <v>14437.5</v>
      </c>
      <c r="L36" s="9">
        <f t="shared" si="3"/>
        <v>1443.75</v>
      </c>
      <c r="M36" s="9">
        <f t="shared" si="4"/>
        <v>1732.5</v>
      </c>
      <c r="N36" s="10">
        <f t="shared" si="5"/>
        <v>11261.25</v>
      </c>
      <c r="O36" s="11">
        <f t="shared" si="6"/>
        <v>3000</v>
      </c>
      <c r="P36" s="10">
        <f t="shared" si="7"/>
        <v>0</v>
      </c>
      <c r="Q36" s="11">
        <f t="shared" si="8"/>
        <v>0</v>
      </c>
      <c r="R36" s="11">
        <f t="shared" si="9"/>
        <v>0</v>
      </c>
      <c r="S36" s="11">
        <f t="shared" si="10"/>
        <v>0</v>
      </c>
      <c r="T36" s="11"/>
      <c r="U36" s="11"/>
    </row>
    <row r="37" spans="1:21" ht="20.25" customHeight="1">
      <c r="A37" s="6">
        <v>35</v>
      </c>
      <c r="B37" s="6" t="s">
        <v>126</v>
      </c>
      <c r="C37" s="6" t="s">
        <v>119</v>
      </c>
      <c r="D37" s="6" t="s">
        <v>42</v>
      </c>
      <c r="E37" s="6" t="s">
        <v>38</v>
      </c>
      <c r="F37" s="6" t="s">
        <v>103</v>
      </c>
      <c r="G37" s="7">
        <v>33729</v>
      </c>
      <c r="H37" s="8">
        <v>9275</v>
      </c>
      <c r="I37" s="9">
        <f t="shared" ref="I37:J37" si="43">$H37*I$1</f>
        <v>3246.25</v>
      </c>
      <c r="J37" s="9">
        <f t="shared" si="43"/>
        <v>2782.5</v>
      </c>
      <c r="K37" s="9">
        <f t="shared" si="2"/>
        <v>15303.75</v>
      </c>
      <c r="L37" s="9">
        <f t="shared" si="3"/>
        <v>1530.375</v>
      </c>
      <c r="M37" s="9">
        <f t="shared" si="4"/>
        <v>1836.45</v>
      </c>
      <c r="N37" s="10">
        <f t="shared" si="5"/>
        <v>11936.924999999999</v>
      </c>
      <c r="O37" s="11">
        <f t="shared" si="6"/>
        <v>3000</v>
      </c>
      <c r="P37" s="10">
        <f t="shared" si="7"/>
        <v>0</v>
      </c>
      <c r="Q37" s="11">
        <f t="shared" si="8"/>
        <v>0</v>
      </c>
      <c r="R37" s="11">
        <f t="shared" si="9"/>
        <v>5000</v>
      </c>
      <c r="S37" s="11">
        <f t="shared" si="10"/>
        <v>0</v>
      </c>
      <c r="T37" s="11"/>
      <c r="U37" s="11"/>
    </row>
    <row r="38" spans="1:21" ht="20.25" customHeight="1">
      <c r="A38" s="6">
        <v>36</v>
      </c>
      <c r="B38" s="6" t="s">
        <v>99</v>
      </c>
      <c r="C38" s="6" t="s">
        <v>127</v>
      </c>
      <c r="D38" s="6" t="s">
        <v>53</v>
      </c>
      <c r="E38" s="6" t="s">
        <v>54</v>
      </c>
      <c r="F38" s="6" t="s">
        <v>128</v>
      </c>
      <c r="G38" s="7">
        <v>34580</v>
      </c>
      <c r="H38" s="8">
        <v>11725</v>
      </c>
      <c r="I38" s="9">
        <f t="shared" ref="I38:J38" si="44">$H38*I$1</f>
        <v>4103.75</v>
      </c>
      <c r="J38" s="9">
        <f t="shared" si="44"/>
        <v>3517.5</v>
      </c>
      <c r="K38" s="9">
        <f t="shared" si="2"/>
        <v>19346.25</v>
      </c>
      <c r="L38" s="9">
        <f t="shared" si="3"/>
        <v>1934.625</v>
      </c>
      <c r="M38" s="9">
        <f t="shared" si="4"/>
        <v>2321.5499999999997</v>
      </c>
      <c r="N38" s="10">
        <f t="shared" si="5"/>
        <v>15090.075000000001</v>
      </c>
      <c r="O38" s="11">
        <f t="shared" si="6"/>
        <v>0</v>
      </c>
      <c r="P38" s="10">
        <f t="shared" si="7"/>
        <v>0</v>
      </c>
      <c r="Q38" s="11">
        <f t="shared" si="8"/>
        <v>0</v>
      </c>
      <c r="R38" s="11">
        <f t="shared" si="9"/>
        <v>0</v>
      </c>
      <c r="S38" s="11">
        <f t="shared" si="10"/>
        <v>6000</v>
      </c>
      <c r="T38" s="11"/>
      <c r="U38" s="11"/>
    </row>
    <row r="39" spans="1:21" ht="20.25" customHeight="1">
      <c r="A39" s="6">
        <v>37</v>
      </c>
      <c r="B39" s="6" t="s">
        <v>68</v>
      </c>
      <c r="C39" s="6" t="s">
        <v>129</v>
      </c>
      <c r="D39" s="6" t="s">
        <v>67</v>
      </c>
      <c r="E39" s="6" t="s">
        <v>38</v>
      </c>
      <c r="F39" s="6" t="s">
        <v>130</v>
      </c>
      <c r="G39" s="7">
        <v>30225</v>
      </c>
      <c r="H39" s="8">
        <v>24500</v>
      </c>
      <c r="I39" s="9">
        <f t="shared" ref="I39:J39" si="45">$H39*I$1</f>
        <v>8575</v>
      </c>
      <c r="J39" s="9">
        <f t="shared" si="45"/>
        <v>7350</v>
      </c>
      <c r="K39" s="9">
        <f t="shared" si="2"/>
        <v>40425</v>
      </c>
      <c r="L39" s="9">
        <f t="shared" si="3"/>
        <v>4042.5</v>
      </c>
      <c r="M39" s="9">
        <f t="shared" si="4"/>
        <v>4851</v>
      </c>
      <c r="N39" s="10">
        <f t="shared" si="5"/>
        <v>31531.5</v>
      </c>
      <c r="O39" s="11">
        <f t="shared" si="6"/>
        <v>0</v>
      </c>
      <c r="P39" s="10">
        <f t="shared" si="7"/>
        <v>0</v>
      </c>
      <c r="Q39" s="11">
        <f t="shared" si="8"/>
        <v>0</v>
      </c>
      <c r="R39" s="11">
        <f t="shared" si="9"/>
        <v>0</v>
      </c>
      <c r="S39" s="11">
        <f t="shared" si="10"/>
        <v>0</v>
      </c>
      <c r="T39" s="11"/>
      <c r="U39" s="11"/>
    </row>
    <row r="40" spans="1:21" ht="20.25" customHeight="1">
      <c r="A40" s="6">
        <v>38</v>
      </c>
      <c r="B40" s="6" t="s">
        <v>131</v>
      </c>
      <c r="C40" s="6" t="s">
        <v>132</v>
      </c>
      <c r="D40" s="6" t="s">
        <v>67</v>
      </c>
      <c r="E40" s="6" t="s">
        <v>29</v>
      </c>
      <c r="F40" s="6" t="s">
        <v>133</v>
      </c>
      <c r="G40" s="7">
        <v>30225</v>
      </c>
      <c r="H40" s="8">
        <v>24500</v>
      </c>
      <c r="I40" s="9">
        <f t="shared" ref="I40:J40" si="46">$H40*I$1</f>
        <v>8575</v>
      </c>
      <c r="J40" s="9">
        <f t="shared" si="46"/>
        <v>7350</v>
      </c>
      <c r="K40" s="9">
        <f t="shared" si="2"/>
        <v>40425</v>
      </c>
      <c r="L40" s="9">
        <f t="shared" si="3"/>
        <v>4042.5</v>
      </c>
      <c r="M40" s="9">
        <f t="shared" si="4"/>
        <v>4851</v>
      </c>
      <c r="N40" s="10">
        <f t="shared" si="5"/>
        <v>31531.5</v>
      </c>
      <c r="O40" s="11">
        <f t="shared" si="6"/>
        <v>0</v>
      </c>
      <c r="P40" s="10">
        <f t="shared" si="7"/>
        <v>0</v>
      </c>
      <c r="Q40" s="11">
        <f t="shared" si="8"/>
        <v>0</v>
      </c>
      <c r="R40" s="11">
        <f t="shared" si="9"/>
        <v>0</v>
      </c>
      <c r="S40" s="11">
        <f t="shared" si="10"/>
        <v>0</v>
      </c>
      <c r="T40" s="11"/>
      <c r="U40" s="11"/>
    </row>
    <row r="41" spans="1:21" ht="20.25" customHeight="1">
      <c r="A41" s="6">
        <v>39</v>
      </c>
      <c r="B41" s="6" t="s">
        <v>74</v>
      </c>
      <c r="C41" s="6" t="s">
        <v>134</v>
      </c>
      <c r="D41" s="6" t="s">
        <v>67</v>
      </c>
      <c r="E41" s="6" t="s">
        <v>29</v>
      </c>
      <c r="F41" s="6" t="s">
        <v>135</v>
      </c>
      <c r="G41" s="7">
        <v>30225</v>
      </c>
      <c r="H41" s="8">
        <v>24500</v>
      </c>
      <c r="I41" s="9">
        <f t="shared" ref="I41:J41" si="47">$H41*I$1</f>
        <v>8575</v>
      </c>
      <c r="J41" s="9">
        <f t="shared" si="47"/>
        <v>7350</v>
      </c>
      <c r="K41" s="9">
        <f t="shared" si="2"/>
        <v>40425</v>
      </c>
      <c r="L41" s="9">
        <f t="shared" si="3"/>
        <v>4042.5</v>
      </c>
      <c r="M41" s="9">
        <f t="shared" si="4"/>
        <v>4851</v>
      </c>
      <c r="N41" s="10">
        <f t="shared" si="5"/>
        <v>31531.5</v>
      </c>
      <c r="O41" s="11">
        <f t="shared" si="6"/>
        <v>0</v>
      </c>
      <c r="P41" s="10">
        <f t="shared" si="7"/>
        <v>0</v>
      </c>
      <c r="Q41" s="11">
        <f t="shared" si="8"/>
        <v>0</v>
      </c>
      <c r="R41" s="11">
        <f t="shared" si="9"/>
        <v>0</v>
      </c>
      <c r="S41" s="11">
        <f t="shared" si="10"/>
        <v>0</v>
      </c>
      <c r="T41" s="11"/>
      <c r="U41" s="11"/>
    </row>
    <row r="42" spans="1:21" ht="20.25" customHeight="1">
      <c r="A42" s="6">
        <v>40</v>
      </c>
      <c r="B42" s="6" t="s">
        <v>136</v>
      </c>
      <c r="C42" s="6" t="s">
        <v>137</v>
      </c>
      <c r="D42" s="6" t="s">
        <v>28</v>
      </c>
      <c r="E42" s="6" t="s">
        <v>38</v>
      </c>
      <c r="F42" s="6" t="s">
        <v>103</v>
      </c>
      <c r="G42" s="7">
        <v>33510</v>
      </c>
      <c r="H42" s="8">
        <v>10500</v>
      </c>
      <c r="I42" s="9">
        <f t="shared" ref="I42:J42" si="48">$H42*I$1</f>
        <v>3674.9999999999995</v>
      </c>
      <c r="J42" s="9">
        <f t="shared" si="48"/>
        <v>3150</v>
      </c>
      <c r="K42" s="9">
        <f t="shared" si="2"/>
        <v>17325</v>
      </c>
      <c r="L42" s="9">
        <f t="shared" si="3"/>
        <v>1732.5</v>
      </c>
      <c r="M42" s="9">
        <f t="shared" si="4"/>
        <v>2079</v>
      </c>
      <c r="N42" s="10">
        <f t="shared" si="5"/>
        <v>13513.5</v>
      </c>
      <c r="O42" s="11">
        <f t="shared" si="6"/>
        <v>0</v>
      </c>
      <c r="P42" s="10">
        <f t="shared" si="7"/>
        <v>1050</v>
      </c>
      <c r="Q42" s="11">
        <f t="shared" si="8"/>
        <v>0</v>
      </c>
      <c r="R42" s="11">
        <f t="shared" si="9"/>
        <v>5000</v>
      </c>
      <c r="S42" s="11">
        <f t="shared" si="10"/>
        <v>0</v>
      </c>
      <c r="T42" s="11"/>
      <c r="U42" s="11"/>
    </row>
    <row r="43" spans="1:21" ht="20.25" customHeight="1">
      <c r="A43" s="6">
        <v>41</v>
      </c>
      <c r="B43" s="6" t="s">
        <v>138</v>
      </c>
      <c r="C43" s="6" t="s">
        <v>139</v>
      </c>
      <c r="D43" s="6" t="s">
        <v>37</v>
      </c>
      <c r="E43" s="6" t="s">
        <v>33</v>
      </c>
      <c r="F43" s="6" t="s">
        <v>64</v>
      </c>
      <c r="G43" s="7">
        <v>35595</v>
      </c>
      <c r="H43" s="8">
        <v>7875</v>
      </c>
      <c r="I43" s="9">
        <f t="shared" ref="I43:J43" si="49">$H43*I$1</f>
        <v>2756.25</v>
      </c>
      <c r="J43" s="9">
        <f t="shared" si="49"/>
        <v>2362.5</v>
      </c>
      <c r="K43" s="9">
        <f t="shared" si="2"/>
        <v>12993.75</v>
      </c>
      <c r="L43" s="9">
        <f t="shared" si="3"/>
        <v>1299.375</v>
      </c>
      <c r="M43" s="9">
        <f t="shared" si="4"/>
        <v>1559.25</v>
      </c>
      <c r="N43" s="10">
        <f t="shared" si="5"/>
        <v>10135.125</v>
      </c>
      <c r="O43" s="11">
        <f t="shared" si="6"/>
        <v>3000</v>
      </c>
      <c r="P43" s="10">
        <f t="shared" si="7"/>
        <v>0</v>
      </c>
      <c r="Q43" s="11">
        <f t="shared" si="8"/>
        <v>787.5</v>
      </c>
      <c r="R43" s="11">
        <f t="shared" si="9"/>
        <v>0</v>
      </c>
      <c r="S43" s="11">
        <f t="shared" si="10"/>
        <v>0</v>
      </c>
      <c r="T43" s="11"/>
      <c r="U43" s="11"/>
    </row>
    <row r="44" spans="1:21" ht="20.25" customHeight="1">
      <c r="A44" s="6">
        <v>42</v>
      </c>
      <c r="B44" s="6" t="s">
        <v>99</v>
      </c>
      <c r="C44" s="6" t="s">
        <v>140</v>
      </c>
      <c r="D44" s="6" t="s">
        <v>46</v>
      </c>
      <c r="E44" s="6" t="s">
        <v>33</v>
      </c>
      <c r="F44" s="6" t="s">
        <v>73</v>
      </c>
      <c r="G44" s="7">
        <v>33510</v>
      </c>
      <c r="H44" s="8">
        <v>13300</v>
      </c>
      <c r="I44" s="9">
        <f t="shared" ref="I44:J44" si="50">$H44*I$1</f>
        <v>4655</v>
      </c>
      <c r="J44" s="9">
        <f t="shared" si="50"/>
        <v>3990</v>
      </c>
      <c r="K44" s="9">
        <f t="shared" si="2"/>
        <v>21945</v>
      </c>
      <c r="L44" s="9">
        <f t="shared" si="3"/>
        <v>2194.5</v>
      </c>
      <c r="M44" s="9">
        <f t="shared" si="4"/>
        <v>2633.4</v>
      </c>
      <c r="N44" s="10">
        <f t="shared" si="5"/>
        <v>17117.099999999999</v>
      </c>
      <c r="O44" s="11">
        <f t="shared" si="6"/>
        <v>0</v>
      </c>
      <c r="P44" s="10">
        <f t="shared" si="7"/>
        <v>0</v>
      </c>
      <c r="Q44" s="11">
        <f t="shared" si="8"/>
        <v>0</v>
      </c>
      <c r="R44" s="11">
        <f t="shared" si="9"/>
        <v>0</v>
      </c>
      <c r="S44" s="11">
        <f t="shared" si="10"/>
        <v>0</v>
      </c>
      <c r="T44" s="11"/>
      <c r="U44" s="11"/>
    </row>
    <row r="45" spans="1:21" ht="20.25" customHeight="1">
      <c r="A45" s="6">
        <v>43</v>
      </c>
      <c r="B45" s="6" t="s">
        <v>141</v>
      </c>
      <c r="C45" s="6" t="s">
        <v>142</v>
      </c>
      <c r="D45" s="6" t="s">
        <v>53</v>
      </c>
      <c r="E45" s="6" t="s">
        <v>54</v>
      </c>
      <c r="F45" s="6" t="s">
        <v>111</v>
      </c>
      <c r="G45" s="7">
        <v>32435</v>
      </c>
      <c r="H45" s="8">
        <v>15750</v>
      </c>
      <c r="I45" s="9">
        <f t="shared" ref="I45:J45" si="51">$H45*I$1</f>
        <v>5512.5</v>
      </c>
      <c r="J45" s="9">
        <f t="shared" si="51"/>
        <v>4725</v>
      </c>
      <c r="K45" s="9">
        <f t="shared" si="2"/>
        <v>25987.5</v>
      </c>
      <c r="L45" s="9">
        <f t="shared" si="3"/>
        <v>2598.75</v>
      </c>
      <c r="M45" s="9">
        <f t="shared" si="4"/>
        <v>3118.5</v>
      </c>
      <c r="N45" s="10">
        <f t="shared" si="5"/>
        <v>20270.25</v>
      </c>
      <c r="O45" s="11">
        <f t="shared" si="6"/>
        <v>0</v>
      </c>
      <c r="P45" s="10">
        <f t="shared" si="7"/>
        <v>0</v>
      </c>
      <c r="Q45" s="11">
        <f t="shared" si="8"/>
        <v>0</v>
      </c>
      <c r="R45" s="11">
        <f t="shared" si="9"/>
        <v>0</v>
      </c>
      <c r="S45" s="11">
        <f t="shared" si="10"/>
        <v>6000</v>
      </c>
      <c r="T45" s="11"/>
      <c r="U45" s="11"/>
    </row>
    <row r="46" spans="1:21" ht="20.25" customHeight="1">
      <c r="A46" s="6">
        <v>44</v>
      </c>
      <c r="B46" s="6" t="s">
        <v>143</v>
      </c>
      <c r="C46" s="6" t="s">
        <v>144</v>
      </c>
      <c r="D46" s="6" t="s">
        <v>53</v>
      </c>
      <c r="E46" s="6" t="s">
        <v>33</v>
      </c>
      <c r="F46" s="6" t="s">
        <v>34</v>
      </c>
      <c r="G46" s="7">
        <v>33194</v>
      </c>
      <c r="H46" s="8">
        <v>13825</v>
      </c>
      <c r="I46" s="9">
        <f t="shared" ref="I46:J46" si="52">$H46*I$1</f>
        <v>4838.75</v>
      </c>
      <c r="J46" s="9">
        <f t="shared" si="52"/>
        <v>4147.5</v>
      </c>
      <c r="K46" s="9">
        <f t="shared" si="2"/>
        <v>22811.25</v>
      </c>
      <c r="L46" s="9">
        <f t="shared" si="3"/>
        <v>2281.125</v>
      </c>
      <c r="M46" s="9">
        <f t="shared" si="4"/>
        <v>2737.35</v>
      </c>
      <c r="N46" s="10">
        <f t="shared" si="5"/>
        <v>17792.775000000001</v>
      </c>
      <c r="O46" s="11">
        <f t="shared" si="6"/>
        <v>0</v>
      </c>
      <c r="P46" s="10">
        <f t="shared" si="7"/>
        <v>0</v>
      </c>
      <c r="Q46" s="11">
        <f t="shared" si="8"/>
        <v>0</v>
      </c>
      <c r="R46" s="11">
        <f t="shared" si="9"/>
        <v>0</v>
      </c>
      <c r="S46" s="11">
        <f t="shared" si="10"/>
        <v>6000</v>
      </c>
      <c r="T46" s="11"/>
      <c r="U46" s="11"/>
    </row>
    <row r="47" spans="1:21" ht="20.25" customHeight="1">
      <c r="A47" s="6">
        <v>45</v>
      </c>
      <c r="B47" s="6" t="s">
        <v>145</v>
      </c>
      <c r="C47" s="6" t="s">
        <v>146</v>
      </c>
      <c r="D47" s="6" t="s">
        <v>46</v>
      </c>
      <c r="E47" s="6" t="s">
        <v>29</v>
      </c>
      <c r="F47" s="6" t="s">
        <v>30</v>
      </c>
      <c r="G47" s="7">
        <v>35618</v>
      </c>
      <c r="H47" s="8">
        <v>11375</v>
      </c>
      <c r="I47" s="9">
        <f t="shared" ref="I47:J47" si="53">$H47*I$1</f>
        <v>3981.2499999999995</v>
      </c>
      <c r="J47" s="9">
        <f t="shared" si="53"/>
        <v>3412.5</v>
      </c>
      <c r="K47" s="9">
        <f t="shared" si="2"/>
        <v>18768.75</v>
      </c>
      <c r="L47" s="9">
        <f t="shared" si="3"/>
        <v>1876.875</v>
      </c>
      <c r="M47" s="9">
        <f t="shared" si="4"/>
        <v>2252.25</v>
      </c>
      <c r="N47" s="10">
        <f t="shared" si="5"/>
        <v>14639.625</v>
      </c>
      <c r="O47" s="11">
        <f t="shared" si="6"/>
        <v>0</v>
      </c>
      <c r="P47" s="10">
        <f t="shared" si="7"/>
        <v>0</v>
      </c>
      <c r="Q47" s="11">
        <f t="shared" si="8"/>
        <v>0</v>
      </c>
      <c r="R47" s="11">
        <f t="shared" si="9"/>
        <v>0</v>
      </c>
      <c r="S47" s="11">
        <f t="shared" si="10"/>
        <v>0</v>
      </c>
      <c r="T47" s="11"/>
      <c r="U47" s="11"/>
    </row>
    <row r="48" spans="1:21" ht="20.25" customHeight="1">
      <c r="A48" s="6">
        <v>46</v>
      </c>
      <c r="B48" s="6" t="s">
        <v>147</v>
      </c>
      <c r="C48" s="6" t="s">
        <v>148</v>
      </c>
      <c r="D48" s="6" t="s">
        <v>28</v>
      </c>
      <c r="E48" s="6" t="s">
        <v>29</v>
      </c>
      <c r="F48" s="6" t="s">
        <v>125</v>
      </c>
      <c r="G48" s="7">
        <v>33510</v>
      </c>
      <c r="H48" s="8">
        <v>15750</v>
      </c>
      <c r="I48" s="9">
        <f t="shared" ref="I48:J48" si="54">$H48*I$1</f>
        <v>5512.5</v>
      </c>
      <c r="J48" s="9">
        <f t="shared" si="54"/>
        <v>4725</v>
      </c>
      <c r="K48" s="9">
        <f t="shared" si="2"/>
        <v>25987.5</v>
      </c>
      <c r="L48" s="9">
        <f t="shared" si="3"/>
        <v>2598.75</v>
      </c>
      <c r="M48" s="9">
        <f t="shared" si="4"/>
        <v>3118.5</v>
      </c>
      <c r="N48" s="10">
        <f t="shared" si="5"/>
        <v>20270.25</v>
      </c>
      <c r="O48" s="11">
        <f t="shared" si="6"/>
        <v>0</v>
      </c>
      <c r="P48" s="10">
        <f t="shared" si="7"/>
        <v>1575</v>
      </c>
      <c r="Q48" s="11">
        <f t="shared" si="8"/>
        <v>0</v>
      </c>
      <c r="R48" s="11">
        <f t="shared" si="9"/>
        <v>5000</v>
      </c>
      <c r="S48" s="11">
        <f t="shared" si="10"/>
        <v>0</v>
      </c>
      <c r="T48" s="11"/>
      <c r="U48" s="11"/>
    </row>
    <row r="49" spans="1:21" ht="20.25" customHeight="1">
      <c r="A49" s="6">
        <v>47</v>
      </c>
      <c r="B49" s="6" t="s">
        <v>149</v>
      </c>
      <c r="C49" s="6" t="s">
        <v>119</v>
      </c>
      <c r="D49" s="6" t="s">
        <v>37</v>
      </c>
      <c r="E49" s="6" t="s">
        <v>29</v>
      </c>
      <c r="F49" s="6" t="s">
        <v>47</v>
      </c>
      <c r="G49" s="7">
        <v>32180</v>
      </c>
      <c r="H49" s="8">
        <v>15750</v>
      </c>
      <c r="I49" s="9">
        <f t="shared" ref="I49:J49" si="55">$H49*I$1</f>
        <v>5512.5</v>
      </c>
      <c r="J49" s="9">
        <f t="shared" si="55"/>
        <v>4725</v>
      </c>
      <c r="K49" s="9">
        <f t="shared" si="2"/>
        <v>25987.5</v>
      </c>
      <c r="L49" s="9">
        <f t="shared" si="3"/>
        <v>2598.75</v>
      </c>
      <c r="M49" s="9">
        <f t="shared" si="4"/>
        <v>3118.5</v>
      </c>
      <c r="N49" s="10">
        <f t="shared" si="5"/>
        <v>20270.25</v>
      </c>
      <c r="O49" s="11">
        <f t="shared" si="6"/>
        <v>0</v>
      </c>
      <c r="P49" s="10">
        <f t="shared" si="7"/>
        <v>0</v>
      </c>
      <c r="Q49" s="11">
        <f t="shared" si="8"/>
        <v>0</v>
      </c>
      <c r="R49" s="11">
        <f t="shared" si="9"/>
        <v>0</v>
      </c>
      <c r="S49" s="11">
        <f t="shared" si="10"/>
        <v>0</v>
      </c>
      <c r="T49" s="11"/>
      <c r="U49" s="11"/>
    </row>
    <row r="50" spans="1:21" ht="20.25" customHeight="1">
      <c r="A50" s="6">
        <v>48</v>
      </c>
      <c r="B50" s="6" t="s">
        <v>150</v>
      </c>
      <c r="C50" s="6" t="s">
        <v>119</v>
      </c>
      <c r="D50" s="6" t="s">
        <v>120</v>
      </c>
      <c r="E50" s="6" t="s">
        <v>54</v>
      </c>
      <c r="F50" s="6" t="s">
        <v>151</v>
      </c>
      <c r="G50" s="7">
        <v>32435</v>
      </c>
      <c r="H50" s="8">
        <v>15750</v>
      </c>
      <c r="I50" s="9">
        <f t="shared" ref="I50:J50" si="56">$H50*I$1</f>
        <v>5512.5</v>
      </c>
      <c r="J50" s="9">
        <f t="shared" si="56"/>
        <v>4725</v>
      </c>
      <c r="K50" s="9">
        <f t="shared" si="2"/>
        <v>25987.5</v>
      </c>
      <c r="L50" s="9">
        <f t="shared" si="3"/>
        <v>2598.75</v>
      </c>
      <c r="M50" s="9">
        <f t="shared" si="4"/>
        <v>3118.5</v>
      </c>
      <c r="N50" s="10">
        <f t="shared" si="5"/>
        <v>20270.25</v>
      </c>
      <c r="O50" s="11">
        <f t="shared" si="6"/>
        <v>0</v>
      </c>
      <c r="P50" s="10">
        <f t="shared" si="7"/>
        <v>0</v>
      </c>
      <c r="Q50" s="11">
        <f t="shared" si="8"/>
        <v>0</v>
      </c>
      <c r="R50" s="11">
        <f t="shared" si="9"/>
        <v>0</v>
      </c>
      <c r="S50" s="11">
        <f t="shared" si="10"/>
        <v>6000</v>
      </c>
      <c r="T50" s="11"/>
      <c r="U50" s="11"/>
    </row>
    <row r="51" spans="1:21" ht="20.25" customHeight="1">
      <c r="A51" s="6">
        <v>49</v>
      </c>
      <c r="B51" s="6" t="s">
        <v>152</v>
      </c>
      <c r="C51" s="6" t="s">
        <v>153</v>
      </c>
      <c r="D51" s="6" t="s">
        <v>120</v>
      </c>
      <c r="E51" s="6" t="s">
        <v>38</v>
      </c>
      <c r="F51" s="6" t="s">
        <v>77</v>
      </c>
      <c r="G51" s="7">
        <v>32435</v>
      </c>
      <c r="H51" s="8">
        <v>15750</v>
      </c>
      <c r="I51" s="9">
        <f t="shared" ref="I51:J51" si="57">$H51*I$1</f>
        <v>5512.5</v>
      </c>
      <c r="J51" s="9">
        <f t="shared" si="57"/>
        <v>4725</v>
      </c>
      <c r="K51" s="9">
        <f t="shared" si="2"/>
        <v>25987.5</v>
      </c>
      <c r="L51" s="9">
        <f t="shared" si="3"/>
        <v>2598.75</v>
      </c>
      <c r="M51" s="9">
        <f t="shared" si="4"/>
        <v>3118.5</v>
      </c>
      <c r="N51" s="10">
        <f t="shared" si="5"/>
        <v>20270.25</v>
      </c>
      <c r="O51" s="11">
        <f t="shared" si="6"/>
        <v>0</v>
      </c>
      <c r="P51" s="10">
        <f t="shared" si="7"/>
        <v>0</v>
      </c>
      <c r="Q51" s="11">
        <f t="shared" si="8"/>
        <v>0</v>
      </c>
      <c r="R51" s="11">
        <f t="shared" si="9"/>
        <v>0</v>
      </c>
      <c r="S51" s="11">
        <f t="shared" si="10"/>
        <v>6000</v>
      </c>
      <c r="T51" s="11"/>
      <c r="U51" s="11"/>
    </row>
    <row r="52" spans="1:21" ht="20.25" customHeight="1">
      <c r="A52" s="6">
        <v>50</v>
      </c>
      <c r="B52" s="6" t="s">
        <v>154</v>
      </c>
      <c r="C52" s="6" t="s">
        <v>148</v>
      </c>
      <c r="D52" s="6" t="s">
        <v>53</v>
      </c>
      <c r="E52" s="6" t="s">
        <v>54</v>
      </c>
      <c r="F52" s="6" t="s">
        <v>151</v>
      </c>
      <c r="G52" s="7">
        <v>32435</v>
      </c>
      <c r="H52" s="8">
        <v>15750</v>
      </c>
      <c r="I52" s="9">
        <f t="shared" ref="I52:J52" si="58">$H52*I$1</f>
        <v>5512.5</v>
      </c>
      <c r="J52" s="9">
        <f t="shared" si="58"/>
        <v>4725</v>
      </c>
      <c r="K52" s="9">
        <f t="shared" si="2"/>
        <v>25987.5</v>
      </c>
      <c r="L52" s="9">
        <f t="shared" si="3"/>
        <v>2598.75</v>
      </c>
      <c r="M52" s="9">
        <f t="shared" si="4"/>
        <v>3118.5</v>
      </c>
      <c r="N52" s="10">
        <f t="shared" si="5"/>
        <v>20270.25</v>
      </c>
      <c r="O52" s="11">
        <f t="shared" si="6"/>
        <v>0</v>
      </c>
      <c r="P52" s="10">
        <f t="shared" si="7"/>
        <v>0</v>
      </c>
      <c r="Q52" s="11">
        <f t="shared" si="8"/>
        <v>0</v>
      </c>
      <c r="R52" s="11">
        <f t="shared" si="9"/>
        <v>0</v>
      </c>
      <c r="S52" s="11">
        <f t="shared" si="10"/>
        <v>6000</v>
      </c>
      <c r="T52" s="11"/>
      <c r="U52" s="11"/>
    </row>
    <row r="53" spans="1:21" ht="20.25" customHeight="1">
      <c r="A53" s="6">
        <v>51</v>
      </c>
      <c r="B53" s="6" t="s">
        <v>155</v>
      </c>
      <c r="C53" s="6" t="s">
        <v>156</v>
      </c>
      <c r="D53" s="6" t="s">
        <v>28</v>
      </c>
      <c r="E53" s="6" t="s">
        <v>29</v>
      </c>
      <c r="F53" s="6" t="s">
        <v>70</v>
      </c>
      <c r="G53" s="7">
        <v>32436</v>
      </c>
      <c r="H53" s="8">
        <v>15750</v>
      </c>
      <c r="I53" s="9">
        <f t="shared" ref="I53:J53" si="59">$H53*I$1</f>
        <v>5512.5</v>
      </c>
      <c r="J53" s="9">
        <f t="shared" si="59"/>
        <v>4725</v>
      </c>
      <c r="K53" s="9">
        <f t="shared" si="2"/>
        <v>25987.5</v>
      </c>
      <c r="L53" s="9">
        <f t="shared" si="3"/>
        <v>2598.75</v>
      </c>
      <c r="M53" s="9">
        <f t="shared" si="4"/>
        <v>3118.5</v>
      </c>
      <c r="N53" s="10">
        <f t="shared" si="5"/>
        <v>20270.25</v>
      </c>
      <c r="O53" s="11">
        <f t="shared" si="6"/>
        <v>0</v>
      </c>
      <c r="P53" s="10">
        <f t="shared" si="7"/>
        <v>1575</v>
      </c>
      <c r="Q53" s="11">
        <f t="shared" si="8"/>
        <v>0</v>
      </c>
      <c r="R53" s="11">
        <f t="shared" si="9"/>
        <v>5000</v>
      </c>
      <c r="S53" s="11">
        <f t="shared" si="10"/>
        <v>0</v>
      </c>
      <c r="T53" s="11"/>
      <c r="U53" s="11"/>
    </row>
    <row r="54" spans="1:21" ht="20.25" customHeight="1">
      <c r="A54" s="6">
        <v>52</v>
      </c>
      <c r="B54" s="6" t="s">
        <v>157</v>
      </c>
      <c r="C54" s="6" t="s">
        <v>158</v>
      </c>
      <c r="D54" s="6" t="s">
        <v>120</v>
      </c>
      <c r="E54" s="6" t="s">
        <v>29</v>
      </c>
      <c r="F54" s="6" t="s">
        <v>125</v>
      </c>
      <c r="G54" s="7">
        <v>32437</v>
      </c>
      <c r="H54" s="8">
        <v>19250</v>
      </c>
      <c r="I54" s="9">
        <f t="shared" ref="I54:J54" si="60">$H54*I$1</f>
        <v>6737.5</v>
      </c>
      <c r="J54" s="9">
        <f t="shared" si="60"/>
        <v>5775</v>
      </c>
      <c r="K54" s="9">
        <f t="shared" si="2"/>
        <v>31762.5</v>
      </c>
      <c r="L54" s="9">
        <f t="shared" si="3"/>
        <v>3176.25</v>
      </c>
      <c r="M54" s="9">
        <f t="shared" si="4"/>
        <v>3811.5</v>
      </c>
      <c r="N54" s="10">
        <f t="shared" si="5"/>
        <v>24774.75</v>
      </c>
      <c r="O54" s="11">
        <f t="shared" si="6"/>
        <v>0</v>
      </c>
      <c r="P54" s="10">
        <f t="shared" si="7"/>
        <v>0</v>
      </c>
      <c r="Q54" s="11">
        <f t="shared" si="8"/>
        <v>0</v>
      </c>
      <c r="R54" s="11">
        <f t="shared" si="9"/>
        <v>0</v>
      </c>
      <c r="S54" s="11">
        <f t="shared" si="10"/>
        <v>6000</v>
      </c>
      <c r="T54" s="11"/>
      <c r="U54" s="11"/>
    </row>
    <row r="55" spans="1:21" ht="20.25" customHeight="1">
      <c r="A55" s="6">
        <v>53</v>
      </c>
      <c r="B55" s="6" t="s">
        <v>159</v>
      </c>
      <c r="C55" s="6" t="s">
        <v>160</v>
      </c>
      <c r="D55" s="6" t="s">
        <v>120</v>
      </c>
      <c r="E55" s="6" t="s">
        <v>54</v>
      </c>
      <c r="F55" s="6" t="s">
        <v>161</v>
      </c>
      <c r="G55" s="7">
        <v>35034</v>
      </c>
      <c r="H55" s="8">
        <v>15750</v>
      </c>
      <c r="I55" s="9">
        <f t="shared" ref="I55:J55" si="61">$H55*I$1</f>
        <v>5512.5</v>
      </c>
      <c r="J55" s="9">
        <f t="shared" si="61"/>
        <v>4725</v>
      </c>
      <c r="K55" s="9">
        <f t="shared" si="2"/>
        <v>25987.5</v>
      </c>
      <c r="L55" s="9">
        <f t="shared" si="3"/>
        <v>2598.75</v>
      </c>
      <c r="M55" s="9">
        <f t="shared" si="4"/>
        <v>3118.5</v>
      </c>
      <c r="N55" s="10">
        <f t="shared" si="5"/>
        <v>20270.25</v>
      </c>
      <c r="O55" s="11">
        <f t="shared" si="6"/>
        <v>0</v>
      </c>
      <c r="P55" s="10">
        <f t="shared" si="7"/>
        <v>0</v>
      </c>
      <c r="Q55" s="11">
        <f t="shared" si="8"/>
        <v>0</v>
      </c>
      <c r="R55" s="11">
        <f t="shared" si="9"/>
        <v>0</v>
      </c>
      <c r="S55" s="11">
        <f t="shared" si="10"/>
        <v>6000</v>
      </c>
      <c r="T55" s="11"/>
      <c r="U55" s="11"/>
    </row>
    <row r="56" spans="1:21" ht="20.25" customHeight="1">
      <c r="A56" s="6">
        <v>54</v>
      </c>
      <c r="B56" s="6" t="s">
        <v>162</v>
      </c>
      <c r="C56" s="6" t="s">
        <v>163</v>
      </c>
      <c r="D56" s="6" t="s">
        <v>120</v>
      </c>
      <c r="E56" s="6" t="s">
        <v>33</v>
      </c>
      <c r="F56" s="6" t="s">
        <v>164</v>
      </c>
      <c r="G56" s="7">
        <v>34761</v>
      </c>
      <c r="H56" s="8">
        <v>15750</v>
      </c>
      <c r="I56" s="9">
        <f t="shared" ref="I56:J56" si="62">$H56*I$1</f>
        <v>5512.5</v>
      </c>
      <c r="J56" s="9">
        <f t="shared" si="62"/>
        <v>4725</v>
      </c>
      <c r="K56" s="9">
        <f t="shared" si="2"/>
        <v>25987.5</v>
      </c>
      <c r="L56" s="9">
        <f t="shared" si="3"/>
        <v>2598.75</v>
      </c>
      <c r="M56" s="9">
        <f t="shared" si="4"/>
        <v>3118.5</v>
      </c>
      <c r="N56" s="10">
        <f t="shared" si="5"/>
        <v>20270.25</v>
      </c>
      <c r="O56" s="11">
        <f t="shared" si="6"/>
        <v>0</v>
      </c>
      <c r="P56" s="10">
        <f t="shared" si="7"/>
        <v>0</v>
      </c>
      <c r="Q56" s="11">
        <f t="shared" si="8"/>
        <v>0</v>
      </c>
      <c r="R56" s="11">
        <f t="shared" si="9"/>
        <v>0</v>
      </c>
      <c r="S56" s="11">
        <f t="shared" si="10"/>
        <v>6000</v>
      </c>
      <c r="T56" s="11"/>
      <c r="U56" s="11"/>
    </row>
    <row r="57" spans="1:21" ht="20.25" customHeight="1">
      <c r="A57" s="6">
        <v>55</v>
      </c>
      <c r="B57" s="6" t="s">
        <v>165</v>
      </c>
      <c r="C57" s="6" t="s">
        <v>166</v>
      </c>
      <c r="D57" s="6" t="s">
        <v>120</v>
      </c>
      <c r="E57" s="6" t="s">
        <v>33</v>
      </c>
      <c r="F57" s="6" t="s">
        <v>167</v>
      </c>
      <c r="G57" s="7">
        <v>31717</v>
      </c>
      <c r="H57" s="8">
        <v>15750</v>
      </c>
      <c r="I57" s="9">
        <f t="shared" ref="I57:J57" si="63">$H57*I$1</f>
        <v>5512.5</v>
      </c>
      <c r="J57" s="9">
        <f t="shared" si="63"/>
        <v>4725</v>
      </c>
      <c r="K57" s="9">
        <f t="shared" si="2"/>
        <v>25987.5</v>
      </c>
      <c r="L57" s="9">
        <f t="shared" si="3"/>
        <v>2598.75</v>
      </c>
      <c r="M57" s="9">
        <f t="shared" si="4"/>
        <v>3118.5</v>
      </c>
      <c r="N57" s="10">
        <f t="shared" si="5"/>
        <v>20270.25</v>
      </c>
      <c r="O57" s="11">
        <f t="shared" si="6"/>
        <v>0</v>
      </c>
      <c r="P57" s="10">
        <f t="shared" si="7"/>
        <v>0</v>
      </c>
      <c r="Q57" s="11">
        <f t="shared" si="8"/>
        <v>0</v>
      </c>
      <c r="R57" s="11">
        <f t="shared" si="9"/>
        <v>0</v>
      </c>
      <c r="S57" s="11">
        <f t="shared" si="10"/>
        <v>6000</v>
      </c>
      <c r="T57" s="11"/>
      <c r="U57" s="11"/>
    </row>
    <row r="58" spans="1:21" ht="20.25" customHeight="1">
      <c r="A58" s="6">
        <v>56</v>
      </c>
      <c r="B58" s="6" t="s">
        <v>168</v>
      </c>
      <c r="C58" s="6" t="s">
        <v>169</v>
      </c>
      <c r="D58" s="6" t="s">
        <v>28</v>
      </c>
      <c r="E58" s="6" t="s">
        <v>54</v>
      </c>
      <c r="F58" s="6" t="s">
        <v>161</v>
      </c>
      <c r="G58" s="7">
        <v>33878</v>
      </c>
      <c r="H58" s="8">
        <v>14875</v>
      </c>
      <c r="I58" s="9">
        <f t="shared" ref="I58:J58" si="64">$H58*I$1</f>
        <v>5206.25</v>
      </c>
      <c r="J58" s="9">
        <f t="shared" si="64"/>
        <v>4462.5</v>
      </c>
      <c r="K58" s="9">
        <f t="shared" si="2"/>
        <v>24543.75</v>
      </c>
      <c r="L58" s="9">
        <f t="shared" si="3"/>
        <v>2454.375</v>
      </c>
      <c r="M58" s="9">
        <f t="shared" si="4"/>
        <v>2945.25</v>
      </c>
      <c r="N58" s="10">
        <f t="shared" si="5"/>
        <v>19144.125</v>
      </c>
      <c r="O58" s="11">
        <f t="shared" si="6"/>
        <v>0</v>
      </c>
      <c r="P58" s="10">
        <f t="shared" si="7"/>
        <v>1487.5</v>
      </c>
      <c r="Q58" s="11">
        <f t="shared" si="8"/>
        <v>0</v>
      </c>
      <c r="R58" s="11">
        <f t="shared" si="9"/>
        <v>5000</v>
      </c>
      <c r="S58" s="11">
        <f t="shared" si="10"/>
        <v>0</v>
      </c>
      <c r="T58" s="11"/>
      <c r="U58" s="11"/>
    </row>
    <row r="59" spans="1:21" ht="20.25" customHeight="1">
      <c r="A59" s="6">
        <v>57</v>
      </c>
      <c r="B59" s="6" t="s">
        <v>170</v>
      </c>
      <c r="C59" s="6" t="s">
        <v>142</v>
      </c>
      <c r="D59" s="6" t="s">
        <v>28</v>
      </c>
      <c r="E59" s="6" t="s">
        <v>38</v>
      </c>
      <c r="F59" s="6" t="s">
        <v>171</v>
      </c>
      <c r="G59" s="7">
        <v>34098</v>
      </c>
      <c r="H59" s="8">
        <v>14875</v>
      </c>
      <c r="I59" s="9">
        <f t="shared" ref="I59:J59" si="65">$H59*I$1</f>
        <v>5206.25</v>
      </c>
      <c r="J59" s="9">
        <f t="shared" si="65"/>
        <v>4462.5</v>
      </c>
      <c r="K59" s="9">
        <f t="shared" si="2"/>
        <v>24543.75</v>
      </c>
      <c r="L59" s="9">
        <f t="shared" si="3"/>
        <v>2454.375</v>
      </c>
      <c r="M59" s="9">
        <f t="shared" si="4"/>
        <v>2945.25</v>
      </c>
      <c r="N59" s="10">
        <f t="shared" si="5"/>
        <v>19144.125</v>
      </c>
      <c r="O59" s="11">
        <f t="shared" si="6"/>
        <v>0</v>
      </c>
      <c r="P59" s="10">
        <f t="shared" si="7"/>
        <v>1487.5</v>
      </c>
      <c r="Q59" s="11">
        <f t="shared" si="8"/>
        <v>0</v>
      </c>
      <c r="R59" s="11">
        <f t="shared" si="9"/>
        <v>5000</v>
      </c>
      <c r="S59" s="11">
        <f t="shared" si="10"/>
        <v>0</v>
      </c>
      <c r="T59" s="11"/>
      <c r="U59" s="11"/>
    </row>
    <row r="60" spans="1:21" ht="20.25" customHeight="1">
      <c r="A60" s="6">
        <v>58</v>
      </c>
      <c r="B60" s="6" t="s">
        <v>172</v>
      </c>
      <c r="C60" s="6" t="s">
        <v>96</v>
      </c>
      <c r="D60" s="6" t="s">
        <v>42</v>
      </c>
      <c r="E60" s="6" t="s">
        <v>29</v>
      </c>
      <c r="F60" s="6" t="s">
        <v>58</v>
      </c>
      <c r="G60" s="7">
        <v>33182</v>
      </c>
      <c r="H60" s="8">
        <v>17500</v>
      </c>
      <c r="I60" s="9">
        <f t="shared" ref="I60:J60" si="66">$H60*I$1</f>
        <v>6125</v>
      </c>
      <c r="J60" s="9">
        <f t="shared" si="66"/>
        <v>5250</v>
      </c>
      <c r="K60" s="9">
        <f t="shared" si="2"/>
        <v>28875</v>
      </c>
      <c r="L60" s="9">
        <f t="shared" si="3"/>
        <v>2887.5</v>
      </c>
      <c r="M60" s="9">
        <f t="shared" si="4"/>
        <v>3465</v>
      </c>
      <c r="N60" s="10">
        <f t="shared" si="5"/>
        <v>22522.5</v>
      </c>
      <c r="O60" s="11">
        <f t="shared" si="6"/>
        <v>0</v>
      </c>
      <c r="P60" s="10">
        <f t="shared" si="7"/>
        <v>0</v>
      </c>
      <c r="Q60" s="11">
        <f t="shared" si="8"/>
        <v>0</v>
      </c>
      <c r="R60" s="11">
        <f t="shared" si="9"/>
        <v>5000</v>
      </c>
      <c r="S60" s="11">
        <f t="shared" si="10"/>
        <v>0</v>
      </c>
      <c r="T60" s="11"/>
      <c r="U60" s="11"/>
    </row>
    <row r="61" spans="1:21" ht="20.25" customHeight="1">
      <c r="A61" s="6">
        <v>59</v>
      </c>
      <c r="B61" s="6" t="s">
        <v>173</v>
      </c>
      <c r="C61" s="6" t="s">
        <v>174</v>
      </c>
      <c r="D61" s="6" t="s">
        <v>37</v>
      </c>
      <c r="E61" s="6" t="s">
        <v>38</v>
      </c>
      <c r="F61" s="6" t="s">
        <v>108</v>
      </c>
      <c r="G61" s="7">
        <v>31791</v>
      </c>
      <c r="H61" s="8">
        <v>19250</v>
      </c>
      <c r="I61" s="9">
        <f t="shared" ref="I61:J61" si="67">$H61*I$1</f>
        <v>6737.5</v>
      </c>
      <c r="J61" s="9">
        <f t="shared" si="67"/>
        <v>5775</v>
      </c>
      <c r="K61" s="9">
        <f t="shared" si="2"/>
        <v>31762.5</v>
      </c>
      <c r="L61" s="9">
        <f t="shared" si="3"/>
        <v>3176.25</v>
      </c>
      <c r="M61" s="9">
        <f t="shared" si="4"/>
        <v>3811.5</v>
      </c>
      <c r="N61" s="10">
        <f t="shared" si="5"/>
        <v>24774.75</v>
      </c>
      <c r="O61" s="11">
        <f t="shared" si="6"/>
        <v>0</v>
      </c>
      <c r="P61" s="10">
        <f t="shared" si="7"/>
        <v>0</v>
      </c>
      <c r="Q61" s="11">
        <f t="shared" si="8"/>
        <v>0</v>
      </c>
      <c r="R61" s="11">
        <f t="shared" si="9"/>
        <v>0</v>
      </c>
      <c r="S61" s="11">
        <f t="shared" si="10"/>
        <v>0</v>
      </c>
      <c r="T61" s="11"/>
      <c r="U61" s="11"/>
    </row>
    <row r="62" spans="1:21" ht="20.25" customHeight="1">
      <c r="A62" s="6">
        <v>60</v>
      </c>
      <c r="B62" s="6" t="s">
        <v>175</v>
      </c>
      <c r="C62" s="6" t="s">
        <v>176</v>
      </c>
      <c r="D62" s="6" t="s">
        <v>42</v>
      </c>
      <c r="E62" s="6" t="s">
        <v>38</v>
      </c>
      <c r="F62" s="6" t="s">
        <v>177</v>
      </c>
      <c r="G62" s="7">
        <v>32105</v>
      </c>
      <c r="H62" s="8">
        <v>19250</v>
      </c>
      <c r="I62" s="9">
        <f t="shared" ref="I62:J62" si="68">$H62*I$1</f>
        <v>6737.5</v>
      </c>
      <c r="J62" s="9">
        <f t="shared" si="68"/>
        <v>5775</v>
      </c>
      <c r="K62" s="9">
        <f t="shared" si="2"/>
        <v>31762.5</v>
      </c>
      <c r="L62" s="9">
        <f t="shared" si="3"/>
        <v>3176.25</v>
      </c>
      <c r="M62" s="9">
        <f t="shared" si="4"/>
        <v>3811.5</v>
      </c>
      <c r="N62" s="10">
        <f t="shared" si="5"/>
        <v>24774.75</v>
      </c>
      <c r="O62" s="11">
        <f t="shared" si="6"/>
        <v>0</v>
      </c>
      <c r="P62" s="10">
        <f t="shared" si="7"/>
        <v>0</v>
      </c>
      <c r="Q62" s="11">
        <f t="shared" si="8"/>
        <v>0</v>
      </c>
      <c r="R62" s="11">
        <f t="shared" si="9"/>
        <v>5000</v>
      </c>
      <c r="S62" s="11">
        <f t="shared" si="10"/>
        <v>0</v>
      </c>
      <c r="T62" s="11"/>
      <c r="U62" s="11"/>
    </row>
    <row r="63" spans="1:21" ht="20.25" customHeight="1">
      <c r="A63" s="6">
        <v>61</v>
      </c>
      <c r="B63" s="6" t="s">
        <v>178</v>
      </c>
      <c r="C63" s="6" t="s">
        <v>179</v>
      </c>
      <c r="D63" s="6" t="s">
        <v>37</v>
      </c>
      <c r="E63" s="6" t="s">
        <v>29</v>
      </c>
      <c r="F63" s="6" t="s">
        <v>58</v>
      </c>
      <c r="G63" s="7">
        <v>32106</v>
      </c>
      <c r="H63" s="8">
        <v>19250</v>
      </c>
      <c r="I63" s="9">
        <f t="shared" ref="I63:J63" si="69">$H63*I$1</f>
        <v>6737.5</v>
      </c>
      <c r="J63" s="9">
        <f t="shared" si="69"/>
        <v>5775</v>
      </c>
      <c r="K63" s="9">
        <f t="shared" si="2"/>
        <v>31762.5</v>
      </c>
      <c r="L63" s="9">
        <f t="shared" si="3"/>
        <v>3176.25</v>
      </c>
      <c r="M63" s="9">
        <f t="shared" si="4"/>
        <v>3811.5</v>
      </c>
      <c r="N63" s="10">
        <f t="shared" si="5"/>
        <v>24774.75</v>
      </c>
      <c r="O63" s="11">
        <f t="shared" si="6"/>
        <v>0</v>
      </c>
      <c r="P63" s="10">
        <f t="shared" si="7"/>
        <v>0</v>
      </c>
      <c r="Q63" s="11">
        <f t="shared" si="8"/>
        <v>0</v>
      </c>
      <c r="R63" s="11">
        <f t="shared" si="9"/>
        <v>0</v>
      </c>
      <c r="S63" s="11">
        <f t="shared" si="10"/>
        <v>0</v>
      </c>
      <c r="T63" s="11"/>
      <c r="U63" s="11"/>
    </row>
    <row r="64" spans="1:21" ht="20.25" customHeight="1">
      <c r="A64" s="6">
        <v>62</v>
      </c>
      <c r="B64" s="6" t="s">
        <v>180</v>
      </c>
      <c r="C64" s="6" t="s">
        <v>84</v>
      </c>
      <c r="D64" s="6" t="s">
        <v>28</v>
      </c>
      <c r="E64" s="6" t="s">
        <v>29</v>
      </c>
      <c r="F64" s="6" t="s">
        <v>47</v>
      </c>
      <c r="G64" s="7">
        <v>32107</v>
      </c>
      <c r="H64" s="8">
        <v>19250</v>
      </c>
      <c r="I64" s="9">
        <f t="shared" ref="I64:J64" si="70">$H64*I$1</f>
        <v>6737.5</v>
      </c>
      <c r="J64" s="9">
        <f t="shared" si="70"/>
        <v>5775</v>
      </c>
      <c r="K64" s="9">
        <f t="shared" si="2"/>
        <v>31762.5</v>
      </c>
      <c r="L64" s="9">
        <f t="shared" si="3"/>
        <v>3176.25</v>
      </c>
      <c r="M64" s="9">
        <f t="shared" si="4"/>
        <v>3811.5</v>
      </c>
      <c r="N64" s="10">
        <f t="shared" si="5"/>
        <v>24774.75</v>
      </c>
      <c r="O64" s="11">
        <f t="shared" si="6"/>
        <v>0</v>
      </c>
      <c r="P64" s="10">
        <f t="shared" si="7"/>
        <v>1925</v>
      </c>
      <c r="Q64" s="11">
        <f t="shared" si="8"/>
        <v>0</v>
      </c>
      <c r="R64" s="11">
        <f t="shared" si="9"/>
        <v>5000</v>
      </c>
      <c r="S64" s="11">
        <f t="shared" si="10"/>
        <v>0</v>
      </c>
      <c r="T64" s="11"/>
      <c r="U64" s="11"/>
    </row>
    <row r="65" spans="1:21" ht="20.25" customHeight="1">
      <c r="A65" s="6">
        <v>63</v>
      </c>
      <c r="B65" s="6" t="s">
        <v>181</v>
      </c>
      <c r="C65" s="6" t="s">
        <v>98</v>
      </c>
      <c r="D65" s="6" t="s">
        <v>46</v>
      </c>
      <c r="E65" s="6" t="s">
        <v>29</v>
      </c>
      <c r="F65" s="6" t="s">
        <v>70</v>
      </c>
      <c r="G65" s="7">
        <v>32440</v>
      </c>
      <c r="H65" s="8">
        <v>17500</v>
      </c>
      <c r="I65" s="9">
        <f t="shared" ref="I65:J65" si="71">$H65*I$1</f>
        <v>6125</v>
      </c>
      <c r="J65" s="9">
        <f t="shared" si="71"/>
        <v>5250</v>
      </c>
      <c r="K65" s="9">
        <f t="shared" si="2"/>
        <v>28875</v>
      </c>
      <c r="L65" s="9">
        <f t="shared" si="3"/>
        <v>2887.5</v>
      </c>
      <c r="M65" s="9">
        <f t="shared" si="4"/>
        <v>3465</v>
      </c>
      <c r="N65" s="10">
        <f t="shared" si="5"/>
        <v>22522.5</v>
      </c>
      <c r="O65" s="11">
        <f t="shared" si="6"/>
        <v>0</v>
      </c>
      <c r="P65" s="10">
        <f t="shared" si="7"/>
        <v>0</v>
      </c>
      <c r="Q65" s="11">
        <f t="shared" si="8"/>
        <v>0</v>
      </c>
      <c r="R65" s="11">
        <f t="shared" si="9"/>
        <v>0</v>
      </c>
      <c r="S65" s="11">
        <f t="shared" si="10"/>
        <v>0</v>
      </c>
      <c r="T65" s="11"/>
      <c r="U65" s="11"/>
    </row>
    <row r="66" spans="1:21" ht="20.25" customHeight="1">
      <c r="A66" s="6">
        <v>64</v>
      </c>
      <c r="B66" s="6" t="s">
        <v>182</v>
      </c>
      <c r="C66" s="6" t="s">
        <v>183</v>
      </c>
      <c r="D66" s="6" t="s">
        <v>53</v>
      </c>
      <c r="E66" s="6" t="s">
        <v>38</v>
      </c>
      <c r="F66" s="6" t="s">
        <v>39</v>
      </c>
      <c r="G66" s="7">
        <v>32441</v>
      </c>
      <c r="H66" s="8">
        <v>17500</v>
      </c>
      <c r="I66" s="9">
        <f t="shared" ref="I66:J66" si="72">$H66*I$1</f>
        <v>6125</v>
      </c>
      <c r="J66" s="9">
        <f t="shared" si="72"/>
        <v>5250</v>
      </c>
      <c r="K66" s="9">
        <f t="shared" si="2"/>
        <v>28875</v>
      </c>
      <c r="L66" s="9">
        <f t="shared" si="3"/>
        <v>2887.5</v>
      </c>
      <c r="M66" s="9">
        <f t="shared" si="4"/>
        <v>3465</v>
      </c>
      <c r="N66" s="10">
        <f t="shared" si="5"/>
        <v>22522.5</v>
      </c>
      <c r="O66" s="11">
        <f t="shared" si="6"/>
        <v>0</v>
      </c>
      <c r="P66" s="10">
        <f t="shared" si="7"/>
        <v>0</v>
      </c>
      <c r="Q66" s="11">
        <f t="shared" si="8"/>
        <v>0</v>
      </c>
      <c r="R66" s="11">
        <f t="shared" si="9"/>
        <v>0</v>
      </c>
      <c r="S66" s="11">
        <f t="shared" si="10"/>
        <v>6000</v>
      </c>
      <c r="T66" s="11"/>
      <c r="U66" s="11"/>
    </row>
    <row r="67" spans="1:21" ht="20.25" customHeight="1">
      <c r="A67" s="6">
        <v>65</v>
      </c>
      <c r="B67" s="6" t="s">
        <v>184</v>
      </c>
      <c r="C67" s="6" t="s">
        <v>75</v>
      </c>
      <c r="D67" s="6" t="s">
        <v>120</v>
      </c>
      <c r="E67" s="6" t="s">
        <v>33</v>
      </c>
      <c r="F67" s="6" t="s">
        <v>73</v>
      </c>
      <c r="G67" s="7">
        <v>32442</v>
      </c>
      <c r="H67" s="8">
        <v>17500</v>
      </c>
      <c r="I67" s="9">
        <f t="shared" ref="I67:J67" si="73">$H67*I$1</f>
        <v>6125</v>
      </c>
      <c r="J67" s="9">
        <f t="shared" si="73"/>
        <v>5250</v>
      </c>
      <c r="K67" s="9">
        <f t="shared" si="2"/>
        <v>28875</v>
      </c>
      <c r="L67" s="9">
        <f t="shared" si="3"/>
        <v>2887.5</v>
      </c>
      <c r="M67" s="9">
        <f t="shared" si="4"/>
        <v>3465</v>
      </c>
      <c r="N67" s="10">
        <f t="shared" si="5"/>
        <v>22522.5</v>
      </c>
      <c r="O67" s="11">
        <f t="shared" si="6"/>
        <v>0</v>
      </c>
      <c r="P67" s="10">
        <f t="shared" si="7"/>
        <v>0</v>
      </c>
      <c r="Q67" s="11">
        <f t="shared" si="8"/>
        <v>0</v>
      </c>
      <c r="R67" s="11">
        <f t="shared" si="9"/>
        <v>0</v>
      </c>
      <c r="S67" s="11">
        <f t="shared" si="10"/>
        <v>6000</v>
      </c>
      <c r="T67" s="11"/>
      <c r="U67" s="11"/>
    </row>
    <row r="68" spans="1:21" ht="20.25" customHeight="1">
      <c r="A68" s="6">
        <v>66</v>
      </c>
      <c r="B68" s="6" t="s">
        <v>185</v>
      </c>
      <c r="C68" s="6" t="s">
        <v>186</v>
      </c>
      <c r="D68" s="6" t="s">
        <v>53</v>
      </c>
      <c r="E68" s="6" t="s">
        <v>29</v>
      </c>
      <c r="F68" s="6" t="s">
        <v>58</v>
      </c>
      <c r="G68" s="7">
        <v>32443</v>
      </c>
      <c r="H68" s="8">
        <v>17500</v>
      </c>
      <c r="I68" s="9">
        <f t="shared" ref="I68:J68" si="74">$H68*I$1</f>
        <v>6125</v>
      </c>
      <c r="J68" s="9">
        <f t="shared" si="74"/>
        <v>5250</v>
      </c>
      <c r="K68" s="9">
        <f t="shared" si="2"/>
        <v>28875</v>
      </c>
      <c r="L68" s="9">
        <f t="shared" si="3"/>
        <v>2887.5</v>
      </c>
      <c r="M68" s="9">
        <f t="shared" si="4"/>
        <v>3465</v>
      </c>
      <c r="N68" s="10">
        <f t="shared" ref="N68:N102" si="75">K68-SUM(L68:M68)</f>
        <v>22522.5</v>
      </c>
      <c r="O68" s="11">
        <f t="shared" ref="O68:O102" si="76">IF(H68&lt;=10000,3000,0)</f>
        <v>0</v>
      </c>
      <c r="P68" s="10">
        <f t="shared" ref="P68:P102" si="77">IF(D68="Sales",H68*10%,0)</f>
        <v>0</v>
      </c>
      <c r="Q68" s="11">
        <f t="shared" ref="Q68:Q102" si="78">IF(AND(D68="Admin",H68&lt;=10000),H68*10%,0)</f>
        <v>0</v>
      </c>
      <c r="R68" s="11">
        <f t="shared" ref="R68:R102" si="79">IF(OR(D68="Sales",D68="Mktg"),5000,0)</f>
        <v>0</v>
      </c>
      <c r="S68" s="11">
        <f t="shared" ref="S68:S102" si="80">IF(OR(AND(D68="CCD",H68&gt;=10000),AND(D68="personnel",H68&gt;=10000)),6000,0)</f>
        <v>6000</v>
      </c>
      <c r="T68" s="11"/>
      <c r="U68" s="11"/>
    </row>
    <row r="69" spans="1:21" ht="20.25" customHeight="1">
      <c r="A69" s="6">
        <v>67</v>
      </c>
      <c r="B69" s="6" t="s">
        <v>187</v>
      </c>
      <c r="C69" s="6" t="s">
        <v>188</v>
      </c>
      <c r="D69" s="6" t="s">
        <v>53</v>
      </c>
      <c r="E69" s="6" t="s">
        <v>29</v>
      </c>
      <c r="F69" s="6" t="s">
        <v>125</v>
      </c>
      <c r="G69" s="7">
        <v>32444</v>
      </c>
      <c r="H69" s="8">
        <v>20125</v>
      </c>
      <c r="I69" s="9">
        <f t="shared" ref="I69:J69" si="81">$H69*I$1</f>
        <v>7043.75</v>
      </c>
      <c r="J69" s="9">
        <f t="shared" si="81"/>
        <v>6037.5</v>
      </c>
      <c r="K69" s="9">
        <f t="shared" si="2"/>
        <v>33206.25</v>
      </c>
      <c r="L69" s="9">
        <f t="shared" si="3"/>
        <v>3320.625</v>
      </c>
      <c r="M69" s="9">
        <f t="shared" si="4"/>
        <v>3984.75</v>
      </c>
      <c r="N69" s="10">
        <f t="shared" si="75"/>
        <v>25900.875</v>
      </c>
      <c r="O69" s="11">
        <f t="shared" si="76"/>
        <v>0</v>
      </c>
      <c r="P69" s="10">
        <f t="shared" si="77"/>
        <v>0</v>
      </c>
      <c r="Q69" s="11">
        <f t="shared" si="78"/>
        <v>0</v>
      </c>
      <c r="R69" s="11">
        <f t="shared" si="79"/>
        <v>0</v>
      </c>
      <c r="S69" s="11">
        <f t="shared" si="80"/>
        <v>6000</v>
      </c>
      <c r="T69" s="11"/>
      <c r="U69" s="11"/>
    </row>
    <row r="70" spans="1:21" ht="20.25" customHeight="1">
      <c r="A70" s="6">
        <v>68</v>
      </c>
      <c r="B70" s="6" t="s">
        <v>189</v>
      </c>
      <c r="C70" s="6" t="s">
        <v>75</v>
      </c>
      <c r="D70" s="6" t="s">
        <v>28</v>
      </c>
      <c r="E70" s="6" t="s">
        <v>29</v>
      </c>
      <c r="F70" s="6" t="s">
        <v>135</v>
      </c>
      <c r="G70" s="7">
        <v>35034</v>
      </c>
      <c r="H70" s="8">
        <v>14000</v>
      </c>
      <c r="I70" s="9">
        <f t="shared" ref="I70:J70" si="82">$H70*I$1</f>
        <v>4900</v>
      </c>
      <c r="J70" s="9">
        <f t="shared" si="82"/>
        <v>4200</v>
      </c>
      <c r="K70" s="9">
        <f t="shared" si="2"/>
        <v>23100</v>
      </c>
      <c r="L70" s="9">
        <f t="shared" si="3"/>
        <v>2310</v>
      </c>
      <c r="M70" s="9">
        <f t="shared" si="4"/>
        <v>2772</v>
      </c>
      <c r="N70" s="10">
        <f t="shared" si="75"/>
        <v>18018</v>
      </c>
      <c r="O70" s="11">
        <f t="shared" si="76"/>
        <v>0</v>
      </c>
      <c r="P70" s="10">
        <f t="shared" si="77"/>
        <v>1400</v>
      </c>
      <c r="Q70" s="11">
        <f t="shared" si="78"/>
        <v>0</v>
      </c>
      <c r="R70" s="11">
        <f t="shared" si="79"/>
        <v>5000</v>
      </c>
      <c r="S70" s="11">
        <f t="shared" si="80"/>
        <v>0</v>
      </c>
      <c r="T70" s="11"/>
      <c r="U70" s="11"/>
    </row>
    <row r="71" spans="1:21" ht="20.25" customHeight="1">
      <c r="A71" s="6">
        <v>69</v>
      </c>
      <c r="B71" s="6" t="s">
        <v>190</v>
      </c>
      <c r="C71" s="6" t="s">
        <v>119</v>
      </c>
      <c r="D71" s="6" t="s">
        <v>53</v>
      </c>
      <c r="E71" s="6" t="s">
        <v>29</v>
      </c>
      <c r="F71" s="6" t="s">
        <v>135</v>
      </c>
      <c r="G71" s="7">
        <v>34761</v>
      </c>
      <c r="H71" s="8">
        <v>14000</v>
      </c>
      <c r="I71" s="9">
        <f t="shared" ref="I71:J71" si="83">$H71*I$1</f>
        <v>4900</v>
      </c>
      <c r="J71" s="9">
        <f t="shared" si="83"/>
        <v>4200</v>
      </c>
      <c r="K71" s="9">
        <f t="shared" si="2"/>
        <v>23100</v>
      </c>
      <c r="L71" s="9">
        <f t="shared" si="3"/>
        <v>2310</v>
      </c>
      <c r="M71" s="9">
        <f t="shared" si="4"/>
        <v>2772</v>
      </c>
      <c r="N71" s="10">
        <f t="shared" si="75"/>
        <v>18018</v>
      </c>
      <c r="O71" s="11">
        <f t="shared" si="76"/>
        <v>0</v>
      </c>
      <c r="P71" s="10">
        <f t="shared" si="77"/>
        <v>0</v>
      </c>
      <c r="Q71" s="11">
        <f t="shared" si="78"/>
        <v>0</v>
      </c>
      <c r="R71" s="11">
        <f t="shared" si="79"/>
        <v>0</v>
      </c>
      <c r="S71" s="11">
        <f t="shared" si="80"/>
        <v>6000</v>
      </c>
      <c r="T71" s="11"/>
      <c r="U71" s="11"/>
    </row>
    <row r="72" spans="1:21" ht="20.25" customHeight="1">
      <c r="A72" s="6">
        <v>70</v>
      </c>
      <c r="B72" s="6" t="s">
        <v>191</v>
      </c>
      <c r="C72" s="6" t="s">
        <v>188</v>
      </c>
      <c r="D72" s="6" t="s">
        <v>42</v>
      </c>
      <c r="E72" s="6" t="s">
        <v>33</v>
      </c>
      <c r="F72" s="6" t="s">
        <v>73</v>
      </c>
      <c r="G72" s="7">
        <v>34762</v>
      </c>
      <c r="H72" s="8">
        <v>14000</v>
      </c>
      <c r="I72" s="9">
        <f t="shared" ref="I72:J72" si="84">$H72*I$1</f>
        <v>4900</v>
      </c>
      <c r="J72" s="9">
        <f t="shared" si="84"/>
        <v>4200</v>
      </c>
      <c r="K72" s="9">
        <f t="shared" si="2"/>
        <v>23100</v>
      </c>
      <c r="L72" s="9">
        <f t="shared" si="3"/>
        <v>2310</v>
      </c>
      <c r="M72" s="9">
        <f t="shared" si="4"/>
        <v>2772</v>
      </c>
      <c r="N72" s="10">
        <f t="shared" si="75"/>
        <v>18018</v>
      </c>
      <c r="O72" s="11">
        <f t="shared" si="76"/>
        <v>0</v>
      </c>
      <c r="P72" s="10">
        <f t="shared" si="77"/>
        <v>0</v>
      </c>
      <c r="Q72" s="11">
        <f t="shared" si="78"/>
        <v>0</v>
      </c>
      <c r="R72" s="11">
        <f t="shared" si="79"/>
        <v>5000</v>
      </c>
      <c r="S72" s="11">
        <f t="shared" si="80"/>
        <v>0</v>
      </c>
      <c r="T72" s="11"/>
      <c r="U72" s="11"/>
    </row>
    <row r="73" spans="1:21" ht="20.25" customHeight="1">
      <c r="A73" s="6">
        <v>71</v>
      </c>
      <c r="B73" s="6" t="s">
        <v>192</v>
      </c>
      <c r="C73" s="6" t="s">
        <v>193</v>
      </c>
      <c r="D73" s="6" t="s">
        <v>46</v>
      </c>
      <c r="E73" s="6" t="s">
        <v>54</v>
      </c>
      <c r="F73" s="6" t="s">
        <v>194</v>
      </c>
      <c r="G73" s="7">
        <v>34763</v>
      </c>
      <c r="H73" s="8">
        <v>14000</v>
      </c>
      <c r="I73" s="9">
        <f t="shared" ref="I73:J73" si="85">$H73*I$1</f>
        <v>4900</v>
      </c>
      <c r="J73" s="9">
        <f t="shared" si="85"/>
        <v>4200</v>
      </c>
      <c r="K73" s="9">
        <f t="shared" si="2"/>
        <v>23100</v>
      </c>
      <c r="L73" s="9">
        <f t="shared" si="3"/>
        <v>2310</v>
      </c>
      <c r="M73" s="9">
        <f t="shared" si="4"/>
        <v>2772</v>
      </c>
      <c r="N73" s="10">
        <f t="shared" si="75"/>
        <v>18018</v>
      </c>
      <c r="O73" s="11">
        <f t="shared" si="76"/>
        <v>0</v>
      </c>
      <c r="P73" s="10">
        <f t="shared" si="77"/>
        <v>0</v>
      </c>
      <c r="Q73" s="11">
        <f t="shared" si="78"/>
        <v>0</v>
      </c>
      <c r="R73" s="11">
        <f t="shared" si="79"/>
        <v>0</v>
      </c>
      <c r="S73" s="11">
        <f t="shared" si="80"/>
        <v>0</v>
      </c>
      <c r="T73" s="11"/>
      <c r="U73" s="11"/>
    </row>
    <row r="74" spans="1:21" ht="20.25" customHeight="1">
      <c r="A74" s="6">
        <v>72</v>
      </c>
      <c r="B74" s="6" t="s">
        <v>195</v>
      </c>
      <c r="C74" s="6" t="s">
        <v>117</v>
      </c>
      <c r="D74" s="6" t="s">
        <v>46</v>
      </c>
      <c r="E74" s="6" t="s">
        <v>38</v>
      </c>
      <c r="F74" s="6" t="s">
        <v>130</v>
      </c>
      <c r="G74" s="7">
        <v>32438</v>
      </c>
      <c r="H74" s="8">
        <v>17500</v>
      </c>
      <c r="I74" s="9">
        <f t="shared" ref="I74:J74" si="86">$H74*I$1</f>
        <v>6125</v>
      </c>
      <c r="J74" s="9">
        <f t="shared" si="86"/>
        <v>5250</v>
      </c>
      <c r="K74" s="9">
        <f t="shared" si="2"/>
        <v>28875</v>
      </c>
      <c r="L74" s="9">
        <f t="shared" si="3"/>
        <v>2887.5</v>
      </c>
      <c r="M74" s="9">
        <f t="shared" si="4"/>
        <v>3465</v>
      </c>
      <c r="N74" s="10">
        <f t="shared" si="75"/>
        <v>22522.5</v>
      </c>
      <c r="O74" s="11">
        <f t="shared" si="76"/>
        <v>0</v>
      </c>
      <c r="P74" s="10">
        <f t="shared" si="77"/>
        <v>0</v>
      </c>
      <c r="Q74" s="11">
        <f t="shared" si="78"/>
        <v>0</v>
      </c>
      <c r="R74" s="11">
        <f t="shared" si="79"/>
        <v>0</v>
      </c>
      <c r="S74" s="11">
        <f t="shared" si="80"/>
        <v>0</v>
      </c>
      <c r="T74" s="11"/>
      <c r="U74" s="11"/>
    </row>
    <row r="75" spans="1:21" ht="20.25" customHeight="1">
      <c r="A75" s="6">
        <v>73</v>
      </c>
      <c r="B75" s="6" t="s">
        <v>196</v>
      </c>
      <c r="C75" s="6" t="s">
        <v>197</v>
      </c>
      <c r="D75" s="6" t="s">
        <v>120</v>
      </c>
      <c r="E75" s="6" t="s">
        <v>29</v>
      </c>
      <c r="F75" s="6" t="s">
        <v>82</v>
      </c>
      <c r="G75" s="7">
        <v>32439</v>
      </c>
      <c r="H75" s="8">
        <v>17500</v>
      </c>
      <c r="I75" s="9">
        <f t="shared" ref="I75:J75" si="87">$H75*I$1</f>
        <v>6125</v>
      </c>
      <c r="J75" s="9">
        <f t="shared" si="87"/>
        <v>5250</v>
      </c>
      <c r="K75" s="9">
        <f t="shared" si="2"/>
        <v>28875</v>
      </c>
      <c r="L75" s="9">
        <f t="shared" si="3"/>
        <v>2887.5</v>
      </c>
      <c r="M75" s="9">
        <f t="shared" si="4"/>
        <v>3465</v>
      </c>
      <c r="N75" s="10">
        <f t="shared" si="75"/>
        <v>22522.5</v>
      </c>
      <c r="O75" s="11">
        <f t="shared" si="76"/>
        <v>0</v>
      </c>
      <c r="P75" s="10">
        <f t="shared" si="77"/>
        <v>0</v>
      </c>
      <c r="Q75" s="11">
        <f t="shared" si="78"/>
        <v>0</v>
      </c>
      <c r="R75" s="11">
        <f t="shared" si="79"/>
        <v>0</v>
      </c>
      <c r="S75" s="11">
        <f t="shared" si="80"/>
        <v>6000</v>
      </c>
      <c r="T75" s="11"/>
      <c r="U75" s="11"/>
    </row>
    <row r="76" spans="1:21" ht="20.25" customHeight="1">
      <c r="A76" s="6">
        <v>74</v>
      </c>
      <c r="B76" s="6" t="s">
        <v>198</v>
      </c>
      <c r="C76" s="6" t="s">
        <v>199</v>
      </c>
      <c r="D76" s="6" t="s">
        <v>28</v>
      </c>
      <c r="E76" s="6" t="s">
        <v>33</v>
      </c>
      <c r="F76" s="6" t="s">
        <v>64</v>
      </c>
      <c r="G76" s="7">
        <v>32440</v>
      </c>
      <c r="H76" s="8">
        <v>17500</v>
      </c>
      <c r="I76" s="9">
        <f t="shared" ref="I76:J76" si="88">$H76*I$1</f>
        <v>6125</v>
      </c>
      <c r="J76" s="9">
        <f t="shared" si="88"/>
        <v>5250</v>
      </c>
      <c r="K76" s="9">
        <f t="shared" si="2"/>
        <v>28875</v>
      </c>
      <c r="L76" s="9">
        <f t="shared" si="3"/>
        <v>2887.5</v>
      </c>
      <c r="M76" s="9">
        <f t="shared" si="4"/>
        <v>3465</v>
      </c>
      <c r="N76" s="10">
        <f t="shared" si="75"/>
        <v>22522.5</v>
      </c>
      <c r="O76" s="11">
        <f t="shared" si="76"/>
        <v>0</v>
      </c>
      <c r="P76" s="10">
        <f t="shared" si="77"/>
        <v>1750</v>
      </c>
      <c r="Q76" s="11">
        <f t="shared" si="78"/>
        <v>0</v>
      </c>
      <c r="R76" s="11">
        <f t="shared" si="79"/>
        <v>5000</v>
      </c>
      <c r="S76" s="11">
        <f t="shared" si="80"/>
        <v>0</v>
      </c>
      <c r="T76" s="11"/>
      <c r="U76" s="11"/>
    </row>
    <row r="77" spans="1:21" ht="20.25" customHeight="1">
      <c r="A77" s="6">
        <v>75</v>
      </c>
      <c r="B77" s="6" t="s">
        <v>200</v>
      </c>
      <c r="C77" s="6" t="s">
        <v>201</v>
      </c>
      <c r="D77" s="6" t="s">
        <v>37</v>
      </c>
      <c r="E77" s="6" t="s">
        <v>33</v>
      </c>
      <c r="F77" s="6" t="s">
        <v>73</v>
      </c>
      <c r="G77" s="7">
        <v>32441</v>
      </c>
      <c r="H77" s="8">
        <v>17500</v>
      </c>
      <c r="I77" s="9">
        <f t="shared" ref="I77:J77" si="89">$H77*I$1</f>
        <v>6125</v>
      </c>
      <c r="J77" s="9">
        <f t="shared" si="89"/>
        <v>5250</v>
      </c>
      <c r="K77" s="9">
        <f t="shared" si="2"/>
        <v>28875</v>
      </c>
      <c r="L77" s="9">
        <f t="shared" si="3"/>
        <v>2887.5</v>
      </c>
      <c r="M77" s="9">
        <f t="shared" si="4"/>
        <v>3465</v>
      </c>
      <c r="N77" s="10">
        <f t="shared" si="75"/>
        <v>22522.5</v>
      </c>
      <c r="O77" s="11">
        <f t="shared" si="76"/>
        <v>0</v>
      </c>
      <c r="P77" s="10">
        <f t="shared" si="77"/>
        <v>0</v>
      </c>
      <c r="Q77" s="11">
        <f t="shared" si="78"/>
        <v>0</v>
      </c>
      <c r="R77" s="11">
        <f t="shared" si="79"/>
        <v>0</v>
      </c>
      <c r="S77" s="11">
        <f t="shared" si="80"/>
        <v>0</v>
      </c>
      <c r="T77" s="11"/>
      <c r="U77" s="11"/>
    </row>
    <row r="78" spans="1:21" ht="20.25" customHeight="1">
      <c r="A78" s="6">
        <v>76</v>
      </c>
      <c r="B78" s="6" t="s">
        <v>202</v>
      </c>
      <c r="C78" s="6" t="s">
        <v>144</v>
      </c>
      <c r="D78" s="6" t="s">
        <v>120</v>
      </c>
      <c r="E78" s="6" t="s">
        <v>54</v>
      </c>
      <c r="F78" s="6" t="s">
        <v>194</v>
      </c>
      <c r="G78" s="7">
        <v>32442</v>
      </c>
      <c r="H78" s="8">
        <v>17500</v>
      </c>
      <c r="I78" s="9">
        <f t="shared" ref="I78:J78" si="90">$H78*I$1</f>
        <v>6125</v>
      </c>
      <c r="J78" s="9">
        <f t="shared" si="90"/>
        <v>5250</v>
      </c>
      <c r="K78" s="9">
        <f t="shared" si="2"/>
        <v>28875</v>
      </c>
      <c r="L78" s="9">
        <f t="shared" si="3"/>
        <v>2887.5</v>
      </c>
      <c r="M78" s="9">
        <f t="shared" si="4"/>
        <v>3465</v>
      </c>
      <c r="N78" s="10">
        <f t="shared" si="75"/>
        <v>22522.5</v>
      </c>
      <c r="O78" s="11">
        <f t="shared" si="76"/>
        <v>0</v>
      </c>
      <c r="P78" s="10">
        <f t="shared" si="77"/>
        <v>0</v>
      </c>
      <c r="Q78" s="11">
        <f t="shared" si="78"/>
        <v>0</v>
      </c>
      <c r="R78" s="11">
        <f t="shared" si="79"/>
        <v>0</v>
      </c>
      <c r="S78" s="11">
        <f t="shared" si="80"/>
        <v>6000</v>
      </c>
      <c r="T78" s="11"/>
      <c r="U78" s="11"/>
    </row>
    <row r="79" spans="1:21" ht="20.25" customHeight="1">
      <c r="A79" s="6">
        <v>77</v>
      </c>
      <c r="B79" s="6" t="s">
        <v>203</v>
      </c>
      <c r="C79" s="6" t="s">
        <v>186</v>
      </c>
      <c r="D79" s="6" t="s">
        <v>46</v>
      </c>
      <c r="E79" s="6" t="s">
        <v>29</v>
      </c>
      <c r="F79" s="6" t="s">
        <v>43</v>
      </c>
      <c r="G79" s="7">
        <v>32443</v>
      </c>
      <c r="H79" s="8">
        <v>17500</v>
      </c>
      <c r="I79" s="9">
        <f t="shared" ref="I79:J79" si="91">$H79*I$1</f>
        <v>6125</v>
      </c>
      <c r="J79" s="9">
        <f t="shared" si="91"/>
        <v>5250</v>
      </c>
      <c r="K79" s="9">
        <f t="shared" si="2"/>
        <v>28875</v>
      </c>
      <c r="L79" s="9">
        <f t="shared" si="3"/>
        <v>2887.5</v>
      </c>
      <c r="M79" s="9">
        <f t="shared" si="4"/>
        <v>3465</v>
      </c>
      <c r="N79" s="10">
        <f t="shared" si="75"/>
        <v>22522.5</v>
      </c>
      <c r="O79" s="11">
        <f t="shared" si="76"/>
        <v>0</v>
      </c>
      <c r="P79" s="10">
        <f t="shared" si="77"/>
        <v>0</v>
      </c>
      <c r="Q79" s="11">
        <f t="shared" si="78"/>
        <v>0</v>
      </c>
      <c r="R79" s="11">
        <f t="shared" si="79"/>
        <v>0</v>
      </c>
      <c r="S79" s="11">
        <f t="shared" si="80"/>
        <v>0</v>
      </c>
      <c r="T79" s="11"/>
      <c r="U79" s="11"/>
    </row>
    <row r="80" spans="1:21" ht="20.25" customHeight="1">
      <c r="A80" s="6">
        <v>78</v>
      </c>
      <c r="B80" s="6" t="s">
        <v>204</v>
      </c>
      <c r="C80" s="6" t="s">
        <v>205</v>
      </c>
      <c r="D80" s="6" t="s">
        <v>28</v>
      </c>
      <c r="E80" s="6" t="s">
        <v>54</v>
      </c>
      <c r="F80" s="6" t="s">
        <v>111</v>
      </c>
      <c r="G80" s="7">
        <v>32444</v>
      </c>
      <c r="H80" s="8">
        <v>17500</v>
      </c>
      <c r="I80" s="9">
        <f t="shared" ref="I80:J80" si="92">$H80*I$1</f>
        <v>6125</v>
      </c>
      <c r="J80" s="9">
        <f t="shared" si="92"/>
        <v>5250</v>
      </c>
      <c r="K80" s="9">
        <f t="shared" si="2"/>
        <v>28875</v>
      </c>
      <c r="L80" s="9">
        <f t="shared" si="3"/>
        <v>2887.5</v>
      </c>
      <c r="M80" s="9">
        <f t="shared" si="4"/>
        <v>3465</v>
      </c>
      <c r="N80" s="10">
        <f t="shared" si="75"/>
        <v>22522.5</v>
      </c>
      <c r="O80" s="11">
        <f t="shared" si="76"/>
        <v>0</v>
      </c>
      <c r="P80" s="10">
        <f t="shared" si="77"/>
        <v>1750</v>
      </c>
      <c r="Q80" s="11">
        <f t="shared" si="78"/>
        <v>0</v>
      </c>
      <c r="R80" s="11">
        <f t="shared" si="79"/>
        <v>5000</v>
      </c>
      <c r="S80" s="11">
        <f t="shared" si="80"/>
        <v>0</v>
      </c>
      <c r="T80" s="11"/>
      <c r="U80" s="11"/>
    </row>
    <row r="81" spans="1:21" ht="20.25" customHeight="1">
      <c r="A81" s="6">
        <v>79</v>
      </c>
      <c r="B81" s="6" t="s">
        <v>206</v>
      </c>
      <c r="C81" s="6" t="s">
        <v>207</v>
      </c>
      <c r="D81" s="6" t="s">
        <v>42</v>
      </c>
      <c r="E81" s="6" t="s">
        <v>29</v>
      </c>
      <c r="F81" s="6" t="s">
        <v>43</v>
      </c>
      <c r="G81" s="7">
        <v>32445</v>
      </c>
      <c r="H81" s="8">
        <v>17500</v>
      </c>
      <c r="I81" s="9">
        <f t="shared" ref="I81:J81" si="93">$H81*I$1</f>
        <v>6125</v>
      </c>
      <c r="J81" s="9">
        <f t="shared" si="93"/>
        <v>5250</v>
      </c>
      <c r="K81" s="9">
        <f t="shared" si="2"/>
        <v>28875</v>
      </c>
      <c r="L81" s="9">
        <f t="shared" si="3"/>
        <v>2887.5</v>
      </c>
      <c r="M81" s="9">
        <f t="shared" si="4"/>
        <v>3465</v>
      </c>
      <c r="N81" s="10">
        <f t="shared" si="75"/>
        <v>22522.5</v>
      </c>
      <c r="O81" s="11">
        <f t="shared" si="76"/>
        <v>0</v>
      </c>
      <c r="P81" s="10">
        <f t="shared" si="77"/>
        <v>0</v>
      </c>
      <c r="Q81" s="11">
        <f t="shared" si="78"/>
        <v>0</v>
      </c>
      <c r="R81" s="11">
        <f t="shared" si="79"/>
        <v>5000</v>
      </c>
      <c r="S81" s="11">
        <f t="shared" si="80"/>
        <v>0</v>
      </c>
      <c r="T81" s="11"/>
      <c r="U81" s="11"/>
    </row>
    <row r="82" spans="1:21" ht="20.25" customHeight="1">
      <c r="A82" s="6">
        <v>80</v>
      </c>
      <c r="B82" s="6" t="s">
        <v>208</v>
      </c>
      <c r="C82" s="6" t="s">
        <v>209</v>
      </c>
      <c r="D82" s="6" t="s">
        <v>42</v>
      </c>
      <c r="E82" s="6" t="s">
        <v>29</v>
      </c>
      <c r="F82" s="6" t="s">
        <v>30</v>
      </c>
      <c r="G82" s="7">
        <v>32446</v>
      </c>
      <c r="H82" s="8">
        <v>17500</v>
      </c>
      <c r="I82" s="9">
        <f t="shared" ref="I82:J82" si="94">$H82*I$1</f>
        <v>6125</v>
      </c>
      <c r="J82" s="9">
        <f t="shared" si="94"/>
        <v>5250</v>
      </c>
      <c r="K82" s="9">
        <f t="shared" si="2"/>
        <v>28875</v>
      </c>
      <c r="L82" s="9">
        <f t="shared" si="3"/>
        <v>2887.5</v>
      </c>
      <c r="M82" s="9">
        <f t="shared" si="4"/>
        <v>3465</v>
      </c>
      <c r="N82" s="10">
        <f t="shared" si="75"/>
        <v>22522.5</v>
      </c>
      <c r="O82" s="11">
        <f t="shared" si="76"/>
        <v>0</v>
      </c>
      <c r="P82" s="10">
        <f t="shared" si="77"/>
        <v>0</v>
      </c>
      <c r="Q82" s="11">
        <f t="shared" si="78"/>
        <v>0</v>
      </c>
      <c r="R82" s="11">
        <f t="shared" si="79"/>
        <v>5000</v>
      </c>
      <c r="S82" s="11">
        <f t="shared" si="80"/>
        <v>0</v>
      </c>
      <c r="T82" s="11"/>
      <c r="U82" s="11"/>
    </row>
    <row r="83" spans="1:21" ht="20.25" customHeight="1">
      <c r="A83" s="6">
        <v>81</v>
      </c>
      <c r="B83" s="6" t="s">
        <v>210</v>
      </c>
      <c r="C83" s="6" t="s">
        <v>211</v>
      </c>
      <c r="D83" s="6" t="s">
        <v>120</v>
      </c>
      <c r="E83" s="6" t="s">
        <v>38</v>
      </c>
      <c r="F83" s="6" t="s">
        <v>171</v>
      </c>
      <c r="G83" s="7">
        <v>32447</v>
      </c>
      <c r="H83" s="8">
        <v>17500</v>
      </c>
      <c r="I83" s="9">
        <f t="shared" ref="I83:J83" si="95">$H83*I$1</f>
        <v>6125</v>
      </c>
      <c r="J83" s="9">
        <f t="shared" si="95"/>
        <v>5250</v>
      </c>
      <c r="K83" s="9">
        <f t="shared" si="2"/>
        <v>28875</v>
      </c>
      <c r="L83" s="9">
        <f t="shared" si="3"/>
        <v>2887.5</v>
      </c>
      <c r="M83" s="9">
        <f t="shared" si="4"/>
        <v>3465</v>
      </c>
      <c r="N83" s="10">
        <f t="shared" si="75"/>
        <v>22522.5</v>
      </c>
      <c r="O83" s="11">
        <f t="shared" si="76"/>
        <v>0</v>
      </c>
      <c r="P83" s="10">
        <f t="shared" si="77"/>
        <v>0</v>
      </c>
      <c r="Q83" s="11">
        <f t="shared" si="78"/>
        <v>0</v>
      </c>
      <c r="R83" s="11">
        <f t="shared" si="79"/>
        <v>0</v>
      </c>
      <c r="S83" s="11">
        <f t="shared" si="80"/>
        <v>6000</v>
      </c>
      <c r="T83" s="11"/>
      <c r="U83" s="11"/>
    </row>
    <row r="84" spans="1:21" ht="20.25" customHeight="1">
      <c r="A84" s="6">
        <v>82</v>
      </c>
      <c r="B84" s="6" t="s">
        <v>212</v>
      </c>
      <c r="C84" s="6" t="s">
        <v>213</v>
      </c>
      <c r="D84" s="6" t="s">
        <v>46</v>
      </c>
      <c r="E84" s="6" t="s">
        <v>33</v>
      </c>
      <c r="F84" s="6" t="s">
        <v>34</v>
      </c>
      <c r="G84" s="7">
        <v>32448</v>
      </c>
      <c r="H84" s="8">
        <v>17500</v>
      </c>
      <c r="I84" s="9">
        <f t="shared" ref="I84:J84" si="96">$H84*I$1</f>
        <v>6125</v>
      </c>
      <c r="J84" s="9">
        <f t="shared" si="96"/>
        <v>5250</v>
      </c>
      <c r="K84" s="9">
        <f t="shared" si="2"/>
        <v>28875</v>
      </c>
      <c r="L84" s="9">
        <f t="shared" si="3"/>
        <v>2887.5</v>
      </c>
      <c r="M84" s="9">
        <f t="shared" si="4"/>
        <v>3465</v>
      </c>
      <c r="N84" s="10">
        <f t="shared" si="75"/>
        <v>22522.5</v>
      </c>
      <c r="O84" s="11">
        <f t="shared" si="76"/>
        <v>0</v>
      </c>
      <c r="P84" s="10">
        <f t="shared" si="77"/>
        <v>0</v>
      </c>
      <c r="Q84" s="11">
        <f t="shared" si="78"/>
        <v>0</v>
      </c>
      <c r="R84" s="11">
        <f t="shared" si="79"/>
        <v>0</v>
      </c>
      <c r="S84" s="11">
        <f t="shared" si="80"/>
        <v>0</v>
      </c>
      <c r="T84" s="11"/>
      <c r="U84" s="11"/>
    </row>
    <row r="85" spans="1:21" ht="20.25" customHeight="1">
      <c r="A85" s="6">
        <v>83</v>
      </c>
      <c r="B85" s="6" t="s">
        <v>214</v>
      </c>
      <c r="C85" s="6" t="s">
        <v>186</v>
      </c>
      <c r="D85" s="6" t="s">
        <v>120</v>
      </c>
      <c r="E85" s="6" t="s">
        <v>29</v>
      </c>
      <c r="F85" s="6" t="s">
        <v>133</v>
      </c>
      <c r="G85" s="7">
        <v>36221</v>
      </c>
      <c r="H85" s="8">
        <v>7000</v>
      </c>
      <c r="I85" s="9">
        <f t="shared" ref="I85:J85" si="97">$H85*I$1</f>
        <v>2450</v>
      </c>
      <c r="J85" s="9">
        <f t="shared" si="97"/>
        <v>2100</v>
      </c>
      <c r="K85" s="9">
        <f t="shared" si="2"/>
        <v>11550</v>
      </c>
      <c r="L85" s="9">
        <f t="shared" si="3"/>
        <v>1155</v>
      </c>
      <c r="M85" s="9">
        <f t="shared" si="4"/>
        <v>1386</v>
      </c>
      <c r="N85" s="10">
        <f t="shared" si="75"/>
        <v>9009</v>
      </c>
      <c r="O85" s="11">
        <f t="shared" si="76"/>
        <v>3000</v>
      </c>
      <c r="P85" s="10">
        <f t="shared" si="77"/>
        <v>0</v>
      </c>
      <c r="Q85" s="11">
        <f t="shared" si="78"/>
        <v>0</v>
      </c>
      <c r="R85" s="11">
        <f t="shared" si="79"/>
        <v>0</v>
      </c>
      <c r="S85" s="11">
        <f t="shared" si="80"/>
        <v>0</v>
      </c>
      <c r="T85" s="11"/>
      <c r="U85" s="11"/>
    </row>
    <row r="86" spans="1:21" ht="20.25" customHeight="1">
      <c r="A86" s="6">
        <v>84</v>
      </c>
      <c r="B86" s="6" t="s">
        <v>215</v>
      </c>
      <c r="C86" s="6" t="s">
        <v>216</v>
      </c>
      <c r="D86" s="6" t="s">
        <v>46</v>
      </c>
      <c r="E86" s="6" t="s">
        <v>33</v>
      </c>
      <c r="F86" s="6" t="s">
        <v>73</v>
      </c>
      <c r="G86" s="7">
        <v>36222</v>
      </c>
      <c r="H86" s="8">
        <v>7000</v>
      </c>
      <c r="I86" s="9">
        <f t="shared" ref="I86:J86" si="98">$H86*I$1</f>
        <v>2450</v>
      </c>
      <c r="J86" s="9">
        <f t="shared" si="98"/>
        <v>2100</v>
      </c>
      <c r="K86" s="9">
        <f t="shared" si="2"/>
        <v>11550</v>
      </c>
      <c r="L86" s="9">
        <f t="shared" si="3"/>
        <v>1155</v>
      </c>
      <c r="M86" s="9">
        <f t="shared" si="4"/>
        <v>1386</v>
      </c>
      <c r="N86" s="10">
        <f t="shared" si="75"/>
        <v>9009</v>
      </c>
      <c r="O86" s="11">
        <f t="shared" si="76"/>
        <v>3000</v>
      </c>
      <c r="P86" s="10">
        <f t="shared" si="77"/>
        <v>0</v>
      </c>
      <c r="Q86" s="11">
        <f t="shared" si="78"/>
        <v>0</v>
      </c>
      <c r="R86" s="11">
        <f t="shared" si="79"/>
        <v>0</v>
      </c>
      <c r="S86" s="11">
        <f t="shared" si="80"/>
        <v>0</v>
      </c>
      <c r="T86" s="11"/>
      <c r="U86" s="11"/>
    </row>
    <row r="87" spans="1:21" ht="20.25" customHeight="1">
      <c r="A87" s="6">
        <v>85</v>
      </c>
      <c r="B87" s="6" t="s">
        <v>217</v>
      </c>
      <c r="C87" s="6" t="s">
        <v>218</v>
      </c>
      <c r="D87" s="6" t="s">
        <v>46</v>
      </c>
      <c r="E87" s="6" t="s">
        <v>29</v>
      </c>
      <c r="F87" s="6" t="s">
        <v>58</v>
      </c>
      <c r="G87" s="7">
        <v>35809</v>
      </c>
      <c r="H87" s="8">
        <v>7000</v>
      </c>
      <c r="I87" s="9">
        <f t="shared" ref="I87:J87" si="99">$H87*I$1</f>
        <v>2450</v>
      </c>
      <c r="J87" s="9">
        <f t="shared" si="99"/>
        <v>2100</v>
      </c>
      <c r="K87" s="9">
        <f t="shared" si="2"/>
        <v>11550</v>
      </c>
      <c r="L87" s="9">
        <f t="shared" si="3"/>
        <v>1155</v>
      </c>
      <c r="M87" s="9">
        <f t="shared" si="4"/>
        <v>1386</v>
      </c>
      <c r="N87" s="10">
        <f t="shared" si="75"/>
        <v>9009</v>
      </c>
      <c r="O87" s="11">
        <f t="shared" si="76"/>
        <v>3000</v>
      </c>
      <c r="P87" s="10">
        <f t="shared" si="77"/>
        <v>0</v>
      </c>
      <c r="Q87" s="11">
        <f t="shared" si="78"/>
        <v>0</v>
      </c>
      <c r="R87" s="11">
        <f t="shared" si="79"/>
        <v>0</v>
      </c>
      <c r="S87" s="11">
        <f t="shared" si="80"/>
        <v>0</v>
      </c>
      <c r="T87" s="11"/>
      <c r="U87" s="11"/>
    </row>
    <row r="88" spans="1:21" ht="20.25" customHeight="1">
      <c r="A88" s="6">
        <v>86</v>
      </c>
      <c r="B88" s="6" t="s">
        <v>219</v>
      </c>
      <c r="C88" s="6" t="s">
        <v>93</v>
      </c>
      <c r="D88" s="6" t="s">
        <v>120</v>
      </c>
      <c r="E88" s="6" t="s">
        <v>29</v>
      </c>
      <c r="F88" s="6" t="s">
        <v>70</v>
      </c>
      <c r="G88" s="7">
        <v>35810</v>
      </c>
      <c r="H88" s="8">
        <v>17500</v>
      </c>
      <c r="I88" s="9">
        <f t="shared" ref="I88:J88" si="100">$H88*I$1</f>
        <v>6125</v>
      </c>
      <c r="J88" s="9">
        <f t="shared" si="100"/>
        <v>5250</v>
      </c>
      <c r="K88" s="9">
        <f t="shared" si="2"/>
        <v>28875</v>
      </c>
      <c r="L88" s="9">
        <f t="shared" si="3"/>
        <v>2887.5</v>
      </c>
      <c r="M88" s="9">
        <f t="shared" si="4"/>
        <v>3465</v>
      </c>
      <c r="N88" s="10">
        <f t="shared" si="75"/>
        <v>22522.5</v>
      </c>
      <c r="O88" s="11">
        <f t="shared" si="76"/>
        <v>0</v>
      </c>
      <c r="P88" s="10">
        <f t="shared" si="77"/>
        <v>0</v>
      </c>
      <c r="Q88" s="11">
        <f t="shared" si="78"/>
        <v>0</v>
      </c>
      <c r="R88" s="11">
        <f t="shared" si="79"/>
        <v>0</v>
      </c>
      <c r="S88" s="11">
        <f t="shared" si="80"/>
        <v>6000</v>
      </c>
      <c r="T88" s="11"/>
      <c r="U88" s="11"/>
    </row>
    <row r="89" spans="1:21" ht="20.25" customHeight="1">
      <c r="A89" s="6">
        <v>87</v>
      </c>
      <c r="B89" s="6" t="s">
        <v>220</v>
      </c>
      <c r="C89" s="6" t="s">
        <v>221</v>
      </c>
      <c r="D89" s="6" t="s">
        <v>42</v>
      </c>
      <c r="E89" s="6" t="s">
        <v>38</v>
      </c>
      <c r="F89" s="6" t="s">
        <v>39</v>
      </c>
      <c r="G89" s="7">
        <v>35811</v>
      </c>
      <c r="H89" s="8">
        <v>17500</v>
      </c>
      <c r="I89" s="9">
        <f t="shared" ref="I89:J89" si="101">$H89*I$1</f>
        <v>6125</v>
      </c>
      <c r="J89" s="9">
        <f t="shared" si="101"/>
        <v>5250</v>
      </c>
      <c r="K89" s="9">
        <f t="shared" si="2"/>
        <v>28875</v>
      </c>
      <c r="L89" s="9">
        <f t="shared" si="3"/>
        <v>2887.5</v>
      </c>
      <c r="M89" s="9">
        <f t="shared" si="4"/>
        <v>3465</v>
      </c>
      <c r="N89" s="10">
        <f t="shared" si="75"/>
        <v>22522.5</v>
      </c>
      <c r="O89" s="11">
        <f t="shared" si="76"/>
        <v>0</v>
      </c>
      <c r="P89" s="10">
        <f t="shared" si="77"/>
        <v>0</v>
      </c>
      <c r="Q89" s="11">
        <f t="shared" si="78"/>
        <v>0</v>
      </c>
      <c r="R89" s="11">
        <f t="shared" si="79"/>
        <v>5000</v>
      </c>
      <c r="S89" s="11">
        <f t="shared" si="80"/>
        <v>0</v>
      </c>
      <c r="T89" s="11"/>
      <c r="U89" s="11"/>
    </row>
    <row r="90" spans="1:21" ht="20.25" customHeight="1">
      <c r="A90" s="6">
        <v>88</v>
      </c>
      <c r="B90" s="6" t="s">
        <v>222</v>
      </c>
      <c r="C90" s="6" t="s">
        <v>223</v>
      </c>
      <c r="D90" s="6" t="s">
        <v>42</v>
      </c>
      <c r="E90" s="6" t="s">
        <v>54</v>
      </c>
      <c r="F90" s="6" t="s">
        <v>55</v>
      </c>
      <c r="G90" s="7">
        <v>35794</v>
      </c>
      <c r="H90" s="8">
        <v>7875</v>
      </c>
      <c r="I90" s="9">
        <f t="shared" ref="I90:J90" si="102">$H90*I$1</f>
        <v>2756.25</v>
      </c>
      <c r="J90" s="9">
        <f t="shared" si="102"/>
        <v>2362.5</v>
      </c>
      <c r="K90" s="9">
        <f t="shared" si="2"/>
        <v>12993.75</v>
      </c>
      <c r="L90" s="9">
        <f t="shared" si="3"/>
        <v>1299.375</v>
      </c>
      <c r="M90" s="9">
        <f t="shared" si="4"/>
        <v>1559.25</v>
      </c>
      <c r="N90" s="10">
        <f t="shared" si="75"/>
        <v>10135.125</v>
      </c>
      <c r="O90" s="11">
        <f t="shared" si="76"/>
        <v>3000</v>
      </c>
      <c r="P90" s="10">
        <f t="shared" si="77"/>
        <v>0</v>
      </c>
      <c r="Q90" s="11">
        <f t="shared" si="78"/>
        <v>0</v>
      </c>
      <c r="R90" s="11">
        <f t="shared" si="79"/>
        <v>5000</v>
      </c>
      <c r="S90" s="11">
        <f t="shared" si="80"/>
        <v>0</v>
      </c>
      <c r="T90" s="11"/>
      <c r="U90" s="11"/>
    </row>
    <row r="91" spans="1:21" ht="20.25" customHeight="1">
      <c r="A91" s="6">
        <v>89</v>
      </c>
      <c r="B91" s="6" t="s">
        <v>224</v>
      </c>
      <c r="C91" s="6" t="s">
        <v>225</v>
      </c>
      <c r="D91" s="6" t="s">
        <v>28</v>
      </c>
      <c r="E91" s="6" t="s">
        <v>29</v>
      </c>
      <c r="F91" s="6" t="s">
        <v>133</v>
      </c>
      <c r="G91" s="7">
        <v>28907</v>
      </c>
      <c r="H91" s="8">
        <v>22750</v>
      </c>
      <c r="I91" s="9">
        <f t="shared" ref="I91:J91" si="103">$H91*I$1</f>
        <v>7962.4999999999991</v>
      </c>
      <c r="J91" s="9">
        <f t="shared" si="103"/>
        <v>6825</v>
      </c>
      <c r="K91" s="9">
        <f t="shared" si="2"/>
        <v>37537.5</v>
      </c>
      <c r="L91" s="9">
        <f t="shared" si="3"/>
        <v>3753.75</v>
      </c>
      <c r="M91" s="9">
        <f t="shared" si="4"/>
        <v>4504.5</v>
      </c>
      <c r="N91" s="10">
        <f t="shared" si="75"/>
        <v>29279.25</v>
      </c>
      <c r="O91" s="11">
        <f t="shared" si="76"/>
        <v>0</v>
      </c>
      <c r="P91" s="10">
        <f t="shared" si="77"/>
        <v>2275</v>
      </c>
      <c r="Q91" s="11">
        <f t="shared" si="78"/>
        <v>0</v>
      </c>
      <c r="R91" s="11">
        <f t="shared" si="79"/>
        <v>5000</v>
      </c>
      <c r="S91" s="11">
        <f t="shared" si="80"/>
        <v>0</v>
      </c>
      <c r="T91" s="11"/>
      <c r="U91" s="11"/>
    </row>
    <row r="92" spans="1:21" ht="20.25" customHeight="1">
      <c r="A92" s="6">
        <v>90</v>
      </c>
      <c r="B92" s="6" t="s">
        <v>226</v>
      </c>
      <c r="C92" s="6" t="s">
        <v>146</v>
      </c>
      <c r="D92" s="6" t="s">
        <v>46</v>
      </c>
      <c r="E92" s="6" t="s">
        <v>29</v>
      </c>
      <c r="F92" s="6" t="s">
        <v>82</v>
      </c>
      <c r="G92" s="7">
        <v>29226</v>
      </c>
      <c r="H92" s="8">
        <v>22750</v>
      </c>
      <c r="I92" s="9">
        <f t="shared" ref="I92:J92" si="104">$H92*I$1</f>
        <v>7962.4999999999991</v>
      </c>
      <c r="J92" s="9">
        <f t="shared" si="104"/>
        <v>6825</v>
      </c>
      <c r="K92" s="9">
        <f t="shared" si="2"/>
        <v>37537.5</v>
      </c>
      <c r="L92" s="9">
        <f t="shared" si="3"/>
        <v>3753.75</v>
      </c>
      <c r="M92" s="9">
        <f t="shared" si="4"/>
        <v>4504.5</v>
      </c>
      <c r="N92" s="10">
        <f t="shared" si="75"/>
        <v>29279.25</v>
      </c>
      <c r="O92" s="11">
        <f t="shared" si="76"/>
        <v>0</v>
      </c>
      <c r="P92" s="10">
        <f t="shared" si="77"/>
        <v>0</v>
      </c>
      <c r="Q92" s="11">
        <f t="shared" si="78"/>
        <v>0</v>
      </c>
      <c r="R92" s="11">
        <f t="shared" si="79"/>
        <v>0</v>
      </c>
      <c r="S92" s="11">
        <f t="shared" si="80"/>
        <v>0</v>
      </c>
      <c r="T92" s="11"/>
      <c r="U92" s="11"/>
    </row>
    <row r="93" spans="1:21" ht="20.25" customHeight="1">
      <c r="A93" s="6">
        <v>91</v>
      </c>
      <c r="B93" s="6" t="s">
        <v>227</v>
      </c>
      <c r="C93" s="6" t="s">
        <v>228</v>
      </c>
      <c r="D93" s="6" t="s">
        <v>28</v>
      </c>
      <c r="E93" s="6" t="s">
        <v>33</v>
      </c>
      <c r="F93" s="6" t="s">
        <v>73</v>
      </c>
      <c r="G93" s="7">
        <v>29172</v>
      </c>
      <c r="H93" s="8">
        <v>22750</v>
      </c>
      <c r="I93" s="9">
        <f t="shared" ref="I93:J93" si="105">$H93*I$1</f>
        <v>7962.4999999999991</v>
      </c>
      <c r="J93" s="9">
        <f t="shared" si="105"/>
        <v>6825</v>
      </c>
      <c r="K93" s="9">
        <f t="shared" si="2"/>
        <v>37537.5</v>
      </c>
      <c r="L93" s="9">
        <f t="shared" si="3"/>
        <v>3753.75</v>
      </c>
      <c r="M93" s="9">
        <f t="shared" si="4"/>
        <v>4504.5</v>
      </c>
      <c r="N93" s="10">
        <f t="shared" si="75"/>
        <v>29279.25</v>
      </c>
      <c r="O93" s="11">
        <f t="shared" si="76"/>
        <v>0</v>
      </c>
      <c r="P93" s="10">
        <f t="shared" si="77"/>
        <v>2275</v>
      </c>
      <c r="Q93" s="11">
        <f t="shared" si="78"/>
        <v>0</v>
      </c>
      <c r="R93" s="11">
        <f t="shared" si="79"/>
        <v>5000</v>
      </c>
      <c r="S93" s="11">
        <f t="shared" si="80"/>
        <v>0</v>
      </c>
      <c r="T93" s="11"/>
      <c r="U93" s="11"/>
    </row>
    <row r="94" spans="1:21" ht="20.25" customHeight="1">
      <c r="A94" s="6">
        <v>92</v>
      </c>
      <c r="B94" s="6" t="s">
        <v>229</v>
      </c>
      <c r="C94" s="6" t="s">
        <v>230</v>
      </c>
      <c r="D94" s="6" t="s">
        <v>42</v>
      </c>
      <c r="E94" s="6" t="s">
        <v>33</v>
      </c>
      <c r="F94" s="6" t="s">
        <v>164</v>
      </c>
      <c r="G94" s="7">
        <v>32603</v>
      </c>
      <c r="H94" s="8">
        <v>17325</v>
      </c>
      <c r="I94" s="9">
        <f t="shared" ref="I94:J94" si="106">$H94*I$1</f>
        <v>6063.75</v>
      </c>
      <c r="J94" s="9">
        <f t="shared" si="106"/>
        <v>5197.5</v>
      </c>
      <c r="K94" s="9">
        <f t="shared" si="2"/>
        <v>28586.25</v>
      </c>
      <c r="L94" s="9">
        <f t="shared" si="3"/>
        <v>2858.625</v>
      </c>
      <c r="M94" s="9">
        <f t="shared" si="4"/>
        <v>3430.35</v>
      </c>
      <c r="N94" s="10">
        <f t="shared" si="75"/>
        <v>22297.275000000001</v>
      </c>
      <c r="O94" s="11">
        <f t="shared" si="76"/>
        <v>0</v>
      </c>
      <c r="P94" s="10">
        <f t="shared" si="77"/>
        <v>0</v>
      </c>
      <c r="Q94" s="11">
        <f t="shared" si="78"/>
        <v>0</v>
      </c>
      <c r="R94" s="11">
        <f t="shared" si="79"/>
        <v>5000</v>
      </c>
      <c r="S94" s="11">
        <f t="shared" si="80"/>
        <v>0</v>
      </c>
      <c r="T94" s="11"/>
      <c r="U94" s="11"/>
    </row>
    <row r="95" spans="1:21" ht="20.25" customHeight="1">
      <c r="A95" s="6">
        <v>93</v>
      </c>
      <c r="B95" s="6" t="s">
        <v>231</v>
      </c>
      <c r="C95" s="6" t="s">
        <v>84</v>
      </c>
      <c r="D95" s="6" t="s">
        <v>28</v>
      </c>
      <c r="E95" s="6" t="s">
        <v>38</v>
      </c>
      <c r="F95" s="6" t="s">
        <v>108</v>
      </c>
      <c r="G95" s="7">
        <v>32604</v>
      </c>
      <c r="H95" s="8">
        <v>17325</v>
      </c>
      <c r="I95" s="9">
        <f t="shared" ref="I95:J95" si="107">$H95*I$1</f>
        <v>6063.75</v>
      </c>
      <c r="J95" s="9">
        <f t="shared" si="107"/>
        <v>5197.5</v>
      </c>
      <c r="K95" s="9">
        <f t="shared" si="2"/>
        <v>28586.25</v>
      </c>
      <c r="L95" s="9">
        <f t="shared" si="3"/>
        <v>2858.625</v>
      </c>
      <c r="M95" s="9">
        <f t="shared" si="4"/>
        <v>3430.35</v>
      </c>
      <c r="N95" s="10">
        <f t="shared" si="75"/>
        <v>22297.275000000001</v>
      </c>
      <c r="O95" s="11">
        <f t="shared" si="76"/>
        <v>0</v>
      </c>
      <c r="P95" s="10">
        <f t="shared" si="77"/>
        <v>1732.5</v>
      </c>
      <c r="Q95" s="11">
        <f t="shared" si="78"/>
        <v>0</v>
      </c>
      <c r="R95" s="11">
        <f t="shared" si="79"/>
        <v>5000</v>
      </c>
      <c r="S95" s="11">
        <f t="shared" si="80"/>
        <v>0</v>
      </c>
      <c r="T95" s="11"/>
      <c r="U95" s="11"/>
    </row>
    <row r="96" spans="1:21" ht="20.25" customHeight="1">
      <c r="A96" s="6">
        <v>94</v>
      </c>
      <c r="B96" s="6" t="s">
        <v>232</v>
      </c>
      <c r="C96" s="6" t="s">
        <v>233</v>
      </c>
      <c r="D96" s="6" t="s">
        <v>42</v>
      </c>
      <c r="E96" s="6" t="s">
        <v>54</v>
      </c>
      <c r="F96" s="6" t="s">
        <v>128</v>
      </c>
      <c r="G96" s="7">
        <v>32605</v>
      </c>
      <c r="H96" s="8">
        <v>17325</v>
      </c>
      <c r="I96" s="9">
        <f t="shared" ref="I96:J96" si="108">$H96*I$1</f>
        <v>6063.75</v>
      </c>
      <c r="J96" s="9">
        <f t="shared" si="108"/>
        <v>5197.5</v>
      </c>
      <c r="K96" s="9">
        <f t="shared" si="2"/>
        <v>28586.25</v>
      </c>
      <c r="L96" s="9">
        <f t="shared" si="3"/>
        <v>2858.625</v>
      </c>
      <c r="M96" s="9">
        <f t="shared" si="4"/>
        <v>3430.35</v>
      </c>
      <c r="N96" s="10">
        <f t="shared" si="75"/>
        <v>22297.275000000001</v>
      </c>
      <c r="O96" s="11">
        <f t="shared" si="76"/>
        <v>0</v>
      </c>
      <c r="P96" s="10">
        <f t="shared" si="77"/>
        <v>0</v>
      </c>
      <c r="Q96" s="11">
        <f t="shared" si="78"/>
        <v>0</v>
      </c>
      <c r="R96" s="11">
        <f t="shared" si="79"/>
        <v>5000</v>
      </c>
      <c r="S96" s="11">
        <f t="shared" si="80"/>
        <v>0</v>
      </c>
      <c r="T96" s="11"/>
      <c r="U96" s="11"/>
    </row>
    <row r="97" spans="1:21" ht="20.25" customHeight="1">
      <c r="A97" s="6">
        <v>95</v>
      </c>
      <c r="B97" s="6" t="s">
        <v>234</v>
      </c>
      <c r="C97" s="6" t="s">
        <v>124</v>
      </c>
      <c r="D97" s="6" t="s">
        <v>42</v>
      </c>
      <c r="E97" s="6" t="s">
        <v>38</v>
      </c>
      <c r="F97" s="6" t="s">
        <v>108</v>
      </c>
      <c r="G97" s="7">
        <v>32606</v>
      </c>
      <c r="H97" s="8">
        <v>17325</v>
      </c>
      <c r="I97" s="9">
        <f t="shared" ref="I97:J97" si="109">$H97*I$1</f>
        <v>6063.75</v>
      </c>
      <c r="J97" s="9">
        <f t="shared" si="109"/>
        <v>5197.5</v>
      </c>
      <c r="K97" s="9">
        <f t="shared" si="2"/>
        <v>28586.25</v>
      </c>
      <c r="L97" s="9">
        <f t="shared" si="3"/>
        <v>2858.625</v>
      </c>
      <c r="M97" s="9">
        <f t="shared" si="4"/>
        <v>3430.35</v>
      </c>
      <c r="N97" s="10">
        <f t="shared" si="75"/>
        <v>22297.275000000001</v>
      </c>
      <c r="O97" s="11">
        <f t="shared" si="76"/>
        <v>0</v>
      </c>
      <c r="P97" s="10">
        <f t="shared" si="77"/>
        <v>0</v>
      </c>
      <c r="Q97" s="11">
        <f t="shared" si="78"/>
        <v>0</v>
      </c>
      <c r="R97" s="11">
        <f t="shared" si="79"/>
        <v>5000</v>
      </c>
      <c r="S97" s="11">
        <f t="shared" si="80"/>
        <v>0</v>
      </c>
      <c r="T97" s="11"/>
      <c r="U97" s="11"/>
    </row>
    <row r="98" spans="1:21" ht="20.25" customHeight="1">
      <c r="A98" s="6">
        <v>96</v>
      </c>
      <c r="B98" s="6" t="s">
        <v>40</v>
      </c>
      <c r="C98" s="6" t="s">
        <v>36</v>
      </c>
      <c r="D98" s="6" t="s">
        <v>46</v>
      </c>
      <c r="E98" s="6" t="s">
        <v>54</v>
      </c>
      <c r="F98" s="6" t="s">
        <v>161</v>
      </c>
      <c r="G98" s="7">
        <v>32607</v>
      </c>
      <c r="H98" s="8">
        <v>17325</v>
      </c>
      <c r="I98" s="9">
        <f t="shared" ref="I98:J98" si="110">$H98*I$1</f>
        <v>6063.75</v>
      </c>
      <c r="J98" s="9">
        <f t="shared" si="110"/>
        <v>5197.5</v>
      </c>
      <c r="K98" s="9">
        <f t="shared" si="2"/>
        <v>28586.25</v>
      </c>
      <c r="L98" s="9">
        <f t="shared" si="3"/>
        <v>2858.625</v>
      </c>
      <c r="M98" s="9">
        <f t="shared" si="4"/>
        <v>3430.35</v>
      </c>
      <c r="N98" s="10">
        <f t="shared" si="75"/>
        <v>22297.275000000001</v>
      </c>
      <c r="O98" s="11">
        <f t="shared" si="76"/>
        <v>0</v>
      </c>
      <c r="P98" s="10">
        <f t="shared" si="77"/>
        <v>0</v>
      </c>
      <c r="Q98" s="11">
        <f t="shared" si="78"/>
        <v>0</v>
      </c>
      <c r="R98" s="11">
        <f t="shared" si="79"/>
        <v>0</v>
      </c>
      <c r="S98" s="11">
        <f t="shared" si="80"/>
        <v>0</v>
      </c>
      <c r="T98" s="11"/>
      <c r="U98" s="11"/>
    </row>
    <row r="99" spans="1:21" ht="20.25" customHeight="1">
      <c r="A99" s="6">
        <v>97</v>
      </c>
      <c r="B99" s="6" t="s">
        <v>235</v>
      </c>
      <c r="C99" s="6" t="s">
        <v>236</v>
      </c>
      <c r="D99" s="6" t="s">
        <v>46</v>
      </c>
      <c r="E99" s="6" t="s">
        <v>38</v>
      </c>
      <c r="F99" s="6" t="s">
        <v>177</v>
      </c>
      <c r="G99" s="7">
        <v>32608</v>
      </c>
      <c r="H99" s="8">
        <v>17325</v>
      </c>
      <c r="I99" s="9">
        <f t="shared" ref="I99:J99" si="111">$H99*I$1</f>
        <v>6063.75</v>
      </c>
      <c r="J99" s="9">
        <f t="shared" si="111"/>
        <v>5197.5</v>
      </c>
      <c r="K99" s="9">
        <f t="shared" si="2"/>
        <v>28586.25</v>
      </c>
      <c r="L99" s="9">
        <f t="shared" si="3"/>
        <v>2858.625</v>
      </c>
      <c r="M99" s="9">
        <f t="shared" si="4"/>
        <v>3430.35</v>
      </c>
      <c r="N99" s="10">
        <f t="shared" si="75"/>
        <v>22297.275000000001</v>
      </c>
      <c r="O99" s="11">
        <f t="shared" si="76"/>
        <v>0</v>
      </c>
      <c r="P99" s="10">
        <f t="shared" si="77"/>
        <v>0</v>
      </c>
      <c r="Q99" s="11">
        <f t="shared" si="78"/>
        <v>0</v>
      </c>
      <c r="R99" s="11">
        <f t="shared" si="79"/>
        <v>0</v>
      </c>
      <c r="S99" s="11">
        <f t="shared" si="80"/>
        <v>0</v>
      </c>
      <c r="T99" s="11"/>
      <c r="U99" s="11"/>
    </row>
    <row r="100" spans="1:21" ht="20.25" customHeight="1">
      <c r="A100" s="6">
        <v>98</v>
      </c>
      <c r="B100" s="6" t="s">
        <v>237</v>
      </c>
      <c r="C100" s="6" t="s">
        <v>238</v>
      </c>
      <c r="D100" s="6" t="s">
        <v>120</v>
      </c>
      <c r="E100" s="6" t="s">
        <v>29</v>
      </c>
      <c r="F100" s="6" t="s">
        <v>43</v>
      </c>
      <c r="G100" s="7">
        <v>32609</v>
      </c>
      <c r="H100" s="8">
        <v>17325</v>
      </c>
      <c r="I100" s="9">
        <f t="shared" ref="I100:J100" si="112">$H100*I$1</f>
        <v>6063.75</v>
      </c>
      <c r="J100" s="9">
        <f t="shared" si="112"/>
        <v>5197.5</v>
      </c>
      <c r="K100" s="9">
        <f t="shared" si="2"/>
        <v>28586.25</v>
      </c>
      <c r="L100" s="9">
        <f t="shared" si="3"/>
        <v>2858.625</v>
      </c>
      <c r="M100" s="9">
        <f t="shared" si="4"/>
        <v>3430.35</v>
      </c>
      <c r="N100" s="10">
        <f t="shared" si="75"/>
        <v>22297.275000000001</v>
      </c>
      <c r="O100" s="11">
        <f t="shared" si="76"/>
        <v>0</v>
      </c>
      <c r="P100" s="10">
        <f t="shared" si="77"/>
        <v>0</v>
      </c>
      <c r="Q100" s="11">
        <f t="shared" si="78"/>
        <v>0</v>
      </c>
      <c r="R100" s="11">
        <f t="shared" si="79"/>
        <v>0</v>
      </c>
      <c r="S100" s="11">
        <f t="shared" si="80"/>
        <v>6000</v>
      </c>
      <c r="T100" s="11"/>
      <c r="U100" s="11"/>
    </row>
    <row r="101" spans="1:21" ht="20.25" customHeight="1">
      <c r="A101" s="6">
        <v>99</v>
      </c>
      <c r="B101" s="6" t="s">
        <v>239</v>
      </c>
      <c r="C101" s="6" t="s">
        <v>186</v>
      </c>
      <c r="D101" s="6" t="s">
        <v>67</v>
      </c>
      <c r="E101" s="6" t="s">
        <v>54</v>
      </c>
      <c r="F101" s="6" t="s">
        <v>111</v>
      </c>
      <c r="G101" s="7">
        <v>35794</v>
      </c>
      <c r="H101" s="8">
        <v>10500</v>
      </c>
      <c r="I101" s="9">
        <f t="shared" ref="I101:J101" si="113">$H101*I$1</f>
        <v>3674.9999999999995</v>
      </c>
      <c r="J101" s="9">
        <f t="shared" si="113"/>
        <v>3150</v>
      </c>
      <c r="K101" s="9">
        <f t="shared" si="2"/>
        <v>17325</v>
      </c>
      <c r="L101" s="9">
        <f t="shared" si="3"/>
        <v>1732.5</v>
      </c>
      <c r="M101" s="9">
        <f t="shared" si="4"/>
        <v>2079</v>
      </c>
      <c r="N101" s="10">
        <f t="shared" si="75"/>
        <v>13513.5</v>
      </c>
      <c r="O101" s="11">
        <f t="shared" si="76"/>
        <v>0</v>
      </c>
      <c r="P101" s="10">
        <f t="shared" si="77"/>
        <v>0</v>
      </c>
      <c r="Q101" s="11">
        <f t="shared" si="78"/>
        <v>0</v>
      </c>
      <c r="R101" s="11">
        <f t="shared" si="79"/>
        <v>0</v>
      </c>
      <c r="S101" s="11">
        <f t="shared" si="80"/>
        <v>0</v>
      </c>
      <c r="T101" s="11"/>
      <c r="U101" s="11"/>
    </row>
    <row r="102" spans="1:21" ht="20.25" customHeight="1">
      <c r="A102" s="6">
        <v>100</v>
      </c>
      <c r="B102" s="6" t="s">
        <v>240</v>
      </c>
      <c r="C102" s="6" t="s">
        <v>241</v>
      </c>
      <c r="D102" s="6" t="s">
        <v>67</v>
      </c>
      <c r="E102" s="6" t="s">
        <v>38</v>
      </c>
      <c r="F102" s="6" t="s">
        <v>39</v>
      </c>
      <c r="G102" s="7">
        <v>36193</v>
      </c>
      <c r="H102" s="8">
        <v>7875</v>
      </c>
      <c r="I102" s="9">
        <f t="shared" ref="I102:J102" si="114">$H102*I$1</f>
        <v>2756.25</v>
      </c>
      <c r="J102" s="9">
        <f t="shared" si="114"/>
        <v>2362.5</v>
      </c>
      <c r="K102" s="9">
        <f t="shared" si="2"/>
        <v>12993.75</v>
      </c>
      <c r="L102" s="9">
        <f t="shared" si="3"/>
        <v>1299.375</v>
      </c>
      <c r="M102" s="9">
        <f t="shared" si="4"/>
        <v>1559.25</v>
      </c>
      <c r="N102" s="10">
        <f t="shared" si="75"/>
        <v>10135.125</v>
      </c>
      <c r="O102" s="11">
        <f t="shared" si="76"/>
        <v>3000</v>
      </c>
      <c r="P102" s="10">
        <f t="shared" si="77"/>
        <v>0</v>
      </c>
      <c r="Q102" s="11">
        <f t="shared" si="78"/>
        <v>0</v>
      </c>
      <c r="R102" s="11">
        <f t="shared" si="79"/>
        <v>0</v>
      </c>
      <c r="S102" s="11">
        <f t="shared" si="80"/>
        <v>0</v>
      </c>
      <c r="T102" s="11"/>
      <c r="U102" s="11"/>
    </row>
    <row r="103" spans="1:21" ht="20.25" customHeight="1"/>
    <row r="104" spans="1:21" ht="20.25" customHeight="1"/>
    <row r="105" spans="1:21" ht="20.25" customHeight="1"/>
    <row r="106" spans="1:21" ht="20.25" customHeight="1"/>
    <row r="107" spans="1:21" ht="20.25" customHeight="1"/>
    <row r="108" spans="1:21" ht="20.25" customHeight="1"/>
    <row r="109" spans="1:21" ht="20.25" customHeight="1"/>
    <row r="110" spans="1:21" ht="20.25" customHeight="1"/>
    <row r="111" spans="1:21" ht="20.25" customHeight="1"/>
    <row r="112" spans="1:21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  <row r="201" ht="20.25" customHeight="1"/>
    <row r="202" ht="20.25" customHeight="1"/>
    <row r="203" ht="20.25" customHeight="1"/>
    <row r="204" ht="20.25" customHeight="1"/>
    <row r="205" ht="20.25" customHeight="1"/>
    <row r="206" ht="20.25" customHeight="1"/>
    <row r="207" ht="20.25" customHeight="1"/>
    <row r="208" ht="20.25" customHeight="1"/>
    <row r="209" ht="20.25" customHeight="1"/>
    <row r="210" ht="20.25" customHeight="1"/>
    <row r="211" ht="20.25" customHeight="1"/>
    <row r="212" ht="20.25" customHeight="1"/>
    <row r="213" ht="20.25" customHeight="1"/>
    <row r="214" ht="20.25" customHeight="1"/>
    <row r="215" ht="20.25" customHeight="1"/>
    <row r="216" ht="20.25" customHeight="1"/>
    <row r="217" ht="20.25" customHeight="1"/>
    <row r="218" ht="20.25" customHeight="1"/>
    <row r="219" ht="20.25" customHeight="1"/>
    <row r="220" ht="20.25" customHeight="1"/>
    <row r="221" ht="20.25" customHeight="1"/>
    <row r="222" ht="20.25" customHeight="1"/>
    <row r="223" ht="20.25" customHeight="1"/>
    <row r="224" ht="20.25" customHeight="1"/>
    <row r="225" ht="20.25" customHeight="1"/>
    <row r="226" ht="20.25" customHeight="1"/>
    <row r="227" ht="20.25" customHeight="1"/>
    <row r="228" ht="20.25" customHeight="1"/>
    <row r="229" ht="20.25" customHeight="1"/>
    <row r="230" ht="20.25" customHeight="1"/>
    <row r="231" ht="20.25" customHeight="1"/>
    <row r="232" ht="20.25" customHeight="1"/>
    <row r="233" ht="20.25" customHeight="1"/>
    <row r="234" ht="20.25" customHeight="1"/>
    <row r="235" ht="20.25" customHeight="1"/>
    <row r="236" ht="20.25" customHeight="1"/>
    <row r="237" ht="20.25" customHeight="1"/>
    <row r="238" ht="20.25" customHeight="1"/>
    <row r="239" ht="20.25" customHeight="1"/>
    <row r="240" ht="20.25" customHeight="1"/>
    <row r="241" ht="20.25" customHeight="1"/>
    <row r="242" ht="20.25" customHeight="1"/>
    <row r="243" ht="20.25" customHeight="1"/>
    <row r="244" ht="20.25" customHeight="1"/>
    <row r="245" ht="20.25" customHeight="1"/>
    <row r="246" ht="20.25" customHeight="1"/>
    <row r="247" ht="20.25" customHeight="1"/>
    <row r="248" ht="20.25" customHeight="1"/>
    <row r="249" ht="20.25" customHeight="1"/>
    <row r="250" ht="20.25" customHeight="1"/>
    <row r="251" ht="20.25" customHeight="1"/>
    <row r="252" ht="20.25" customHeight="1"/>
    <row r="253" ht="20.25" customHeight="1"/>
    <row r="254" ht="20.25" customHeight="1"/>
    <row r="255" ht="20.25" customHeight="1"/>
    <row r="256" ht="20.25" customHeight="1"/>
    <row r="257" ht="20.25" customHeight="1"/>
    <row r="258" ht="20.25" customHeight="1"/>
    <row r="259" ht="20.25" customHeight="1"/>
    <row r="260" ht="20.25" customHeight="1"/>
    <row r="261" ht="20.25" customHeight="1"/>
    <row r="262" ht="20.25" customHeight="1"/>
    <row r="263" ht="20.25" customHeight="1"/>
    <row r="264" ht="20.25" customHeight="1"/>
    <row r="265" ht="20.25" customHeight="1"/>
    <row r="266" ht="20.25" customHeight="1"/>
    <row r="267" ht="20.25" customHeight="1"/>
    <row r="268" ht="20.25" customHeight="1"/>
    <row r="269" ht="20.25" customHeight="1"/>
    <row r="270" ht="20.25" customHeight="1"/>
    <row r="271" ht="20.25" customHeight="1"/>
    <row r="272" ht="20.25" customHeight="1"/>
    <row r="273" ht="20.25" customHeight="1"/>
    <row r="274" ht="20.25" customHeight="1"/>
    <row r="275" ht="20.25" customHeight="1"/>
    <row r="276" ht="20.25" customHeight="1"/>
    <row r="277" ht="20.25" customHeight="1"/>
    <row r="278" ht="20.25" customHeight="1"/>
    <row r="279" ht="20.25" customHeight="1"/>
    <row r="280" ht="20.25" customHeight="1"/>
    <row r="281" ht="20.25" customHeight="1"/>
    <row r="282" ht="20.25" customHeight="1"/>
    <row r="283" ht="20.25" customHeight="1"/>
    <row r="284" ht="20.25" customHeight="1"/>
    <row r="285" ht="20.25" customHeight="1"/>
    <row r="286" ht="20.25" customHeight="1"/>
    <row r="287" ht="20.25" customHeight="1"/>
    <row r="288" ht="20.25" customHeight="1"/>
    <row r="289" ht="20.25" customHeight="1"/>
    <row r="290" ht="20.25" customHeight="1"/>
    <row r="291" ht="20.25" customHeight="1"/>
    <row r="292" ht="20.25" customHeight="1"/>
    <row r="293" ht="20.25" customHeight="1"/>
    <row r="294" ht="20.25" customHeight="1"/>
    <row r="295" ht="20.25" customHeight="1"/>
    <row r="296" ht="20.25" customHeight="1"/>
    <row r="297" ht="20.25" customHeight="1"/>
    <row r="298" ht="20.25" customHeight="1"/>
    <row r="299" ht="20.25" customHeight="1"/>
    <row r="300" ht="20.25" customHeight="1"/>
    <row r="301" ht="20.25" customHeight="1"/>
    <row r="302" ht="20.25" customHeight="1"/>
    <row r="303" ht="20.25" customHeight="1"/>
    <row r="304" ht="20.25" customHeight="1"/>
    <row r="305" ht="20.25" customHeight="1"/>
    <row r="306" ht="20.25" customHeight="1"/>
    <row r="307" ht="20.25" customHeight="1"/>
    <row r="308" ht="20.25" customHeight="1"/>
    <row r="309" ht="20.25" customHeight="1"/>
    <row r="310" ht="20.25" customHeight="1"/>
    <row r="311" ht="20.25" customHeight="1"/>
    <row r="312" ht="20.25" customHeight="1"/>
    <row r="313" ht="20.25" customHeight="1"/>
    <row r="314" ht="20.25" customHeight="1"/>
    <row r="315" ht="20.25" customHeight="1"/>
    <row r="316" ht="20.25" customHeight="1"/>
    <row r="317" ht="20.25" customHeight="1"/>
    <row r="318" ht="20.25" customHeight="1"/>
    <row r="319" ht="20.25" customHeight="1"/>
    <row r="320" ht="20.25" customHeight="1"/>
    <row r="321" ht="20.25" customHeight="1"/>
    <row r="322" ht="20.25" customHeight="1"/>
    <row r="323" ht="20.25" customHeight="1"/>
    <row r="324" ht="20.25" customHeight="1"/>
    <row r="325" ht="20.25" customHeight="1"/>
    <row r="326" ht="20.25" customHeight="1"/>
    <row r="327" ht="20.25" customHeight="1"/>
    <row r="328" ht="20.25" customHeight="1"/>
    <row r="329" ht="20.25" customHeight="1"/>
    <row r="330" ht="20.25" customHeight="1"/>
    <row r="331" ht="20.25" customHeight="1"/>
    <row r="332" ht="20.25" customHeight="1"/>
    <row r="333" ht="20.25" customHeight="1"/>
    <row r="334" ht="20.25" customHeight="1"/>
    <row r="335" ht="20.25" customHeight="1"/>
    <row r="336" ht="20.25" customHeight="1"/>
    <row r="337" ht="20.25" customHeight="1"/>
    <row r="338" ht="20.25" customHeight="1"/>
    <row r="339" ht="20.25" customHeight="1"/>
    <row r="340" ht="20.25" customHeight="1"/>
    <row r="341" ht="20.25" customHeight="1"/>
    <row r="342" ht="20.25" customHeight="1"/>
    <row r="343" ht="20.25" customHeight="1"/>
    <row r="344" ht="20.25" customHeight="1"/>
    <row r="345" ht="20.25" customHeight="1"/>
    <row r="346" ht="20.25" customHeight="1"/>
    <row r="347" ht="20.25" customHeight="1"/>
    <row r="348" ht="20.25" customHeight="1"/>
    <row r="349" ht="20.25" customHeight="1"/>
    <row r="350" ht="20.25" customHeight="1"/>
    <row r="351" ht="20.25" customHeight="1"/>
    <row r="352" ht="20.25" customHeight="1"/>
    <row r="353" ht="20.25" customHeight="1"/>
    <row r="354" ht="20.25" customHeight="1"/>
    <row r="355" ht="20.25" customHeight="1"/>
    <row r="356" ht="20.25" customHeight="1"/>
    <row r="357" ht="20.25" customHeight="1"/>
    <row r="358" ht="20.25" customHeight="1"/>
    <row r="359" ht="20.25" customHeight="1"/>
    <row r="360" ht="20.25" customHeight="1"/>
    <row r="361" ht="20.25" customHeight="1"/>
    <row r="362" ht="20.25" customHeight="1"/>
    <row r="363" ht="20.25" customHeight="1"/>
    <row r="364" ht="20.25" customHeight="1"/>
    <row r="365" ht="20.25" customHeight="1"/>
    <row r="366" ht="20.25" customHeight="1"/>
    <row r="367" ht="20.25" customHeight="1"/>
    <row r="368" ht="20.25" customHeight="1"/>
    <row r="369" ht="20.25" customHeight="1"/>
    <row r="370" ht="20.25" customHeight="1"/>
    <row r="371" ht="20.25" customHeight="1"/>
    <row r="372" ht="20.25" customHeight="1"/>
    <row r="373" ht="20.25" customHeight="1"/>
    <row r="374" ht="20.25" customHeight="1"/>
    <row r="375" ht="20.25" customHeight="1"/>
    <row r="376" ht="20.25" customHeight="1"/>
    <row r="377" ht="20.25" customHeight="1"/>
    <row r="378" ht="20.25" customHeight="1"/>
    <row r="379" ht="20.25" customHeight="1"/>
    <row r="380" ht="20.25" customHeight="1"/>
    <row r="381" ht="20.25" customHeight="1"/>
    <row r="382" ht="20.25" customHeight="1"/>
    <row r="383" ht="20.25" customHeight="1"/>
    <row r="384" ht="20.25" customHeight="1"/>
    <row r="385" ht="20.25" customHeight="1"/>
    <row r="386" ht="20.25" customHeight="1"/>
    <row r="387" ht="20.25" customHeight="1"/>
    <row r="388" ht="20.25" customHeight="1"/>
    <row r="389" ht="20.25" customHeight="1"/>
    <row r="390" ht="20.25" customHeight="1"/>
    <row r="391" ht="20.25" customHeight="1"/>
    <row r="392" ht="20.25" customHeight="1"/>
    <row r="393" ht="20.25" customHeight="1"/>
    <row r="394" ht="20.25" customHeight="1"/>
    <row r="395" ht="20.25" customHeight="1"/>
    <row r="396" ht="20.25" customHeight="1"/>
    <row r="397" ht="20.25" customHeight="1"/>
    <row r="398" ht="20.25" customHeight="1"/>
    <row r="399" ht="20.25" customHeight="1"/>
    <row r="400" ht="20.25" customHeight="1"/>
    <row r="401" ht="20.25" customHeight="1"/>
    <row r="402" ht="20.25" customHeight="1"/>
    <row r="403" ht="20.25" customHeight="1"/>
    <row r="404" ht="20.25" customHeight="1"/>
    <row r="405" ht="20.25" customHeight="1"/>
    <row r="406" ht="20.25" customHeight="1"/>
    <row r="407" ht="20.25" customHeight="1"/>
    <row r="408" ht="20.25" customHeight="1"/>
    <row r="409" ht="20.25" customHeight="1"/>
    <row r="410" ht="20.25" customHeight="1"/>
    <row r="411" ht="20.25" customHeight="1"/>
    <row r="412" ht="20.25" customHeight="1"/>
    <row r="413" ht="20.25" customHeight="1"/>
    <row r="414" ht="20.25" customHeight="1"/>
    <row r="415" ht="20.25" customHeight="1"/>
    <row r="416" ht="20.25" customHeight="1"/>
    <row r="417" ht="20.25" customHeight="1"/>
    <row r="418" ht="20.25" customHeight="1"/>
    <row r="419" ht="20.25" customHeight="1"/>
    <row r="420" ht="20.25" customHeight="1"/>
    <row r="421" ht="20.25" customHeight="1"/>
    <row r="422" ht="20.25" customHeight="1"/>
    <row r="423" ht="20.25" customHeight="1"/>
    <row r="424" ht="20.25" customHeight="1"/>
    <row r="425" ht="20.25" customHeight="1"/>
    <row r="426" ht="20.25" customHeight="1"/>
    <row r="427" ht="20.25" customHeight="1"/>
    <row r="428" ht="20.25" customHeight="1"/>
    <row r="429" ht="20.25" customHeight="1"/>
    <row r="430" ht="20.25" customHeight="1"/>
    <row r="431" ht="20.25" customHeight="1"/>
    <row r="432" ht="20.25" customHeight="1"/>
    <row r="433" ht="20.25" customHeight="1"/>
    <row r="434" ht="20.25" customHeight="1"/>
    <row r="435" ht="20.25" customHeight="1"/>
    <row r="436" ht="20.25" customHeight="1"/>
    <row r="437" ht="20.25" customHeight="1"/>
    <row r="438" ht="20.25" customHeight="1"/>
    <row r="439" ht="20.25" customHeight="1"/>
    <row r="440" ht="20.25" customHeight="1"/>
    <row r="441" ht="20.25" customHeight="1"/>
    <row r="442" ht="20.25" customHeight="1"/>
    <row r="443" ht="20.25" customHeight="1"/>
    <row r="444" ht="20.25" customHeight="1"/>
    <row r="445" ht="20.25" customHeight="1"/>
    <row r="446" ht="20.25" customHeight="1"/>
    <row r="447" ht="20.25" customHeight="1"/>
    <row r="448" ht="20.25" customHeight="1"/>
    <row r="449" ht="20.25" customHeight="1"/>
    <row r="450" ht="20.25" customHeight="1"/>
    <row r="451" ht="20.25" customHeight="1"/>
    <row r="452" ht="20.25" customHeight="1"/>
    <row r="453" ht="20.25" customHeight="1"/>
    <row r="454" ht="20.25" customHeight="1"/>
    <row r="455" ht="20.25" customHeight="1"/>
    <row r="456" ht="20.25" customHeight="1"/>
    <row r="457" ht="20.25" customHeight="1"/>
    <row r="458" ht="20.25" customHeight="1"/>
    <row r="459" ht="20.25" customHeight="1"/>
    <row r="460" ht="20.25" customHeight="1"/>
    <row r="461" ht="20.25" customHeight="1"/>
    <row r="462" ht="20.25" customHeight="1"/>
    <row r="463" ht="20.25" customHeight="1"/>
    <row r="464" ht="20.25" customHeight="1"/>
    <row r="465" ht="20.25" customHeight="1"/>
    <row r="466" ht="20.25" customHeight="1"/>
    <row r="467" ht="20.25" customHeight="1"/>
    <row r="468" ht="20.25" customHeight="1"/>
    <row r="469" ht="20.25" customHeight="1"/>
    <row r="470" ht="20.25" customHeight="1"/>
    <row r="471" ht="20.25" customHeight="1"/>
    <row r="472" ht="20.25" customHeight="1"/>
    <row r="473" ht="20.25" customHeight="1"/>
    <row r="474" ht="20.25" customHeight="1"/>
    <row r="475" ht="20.25" customHeight="1"/>
    <row r="476" ht="20.25" customHeight="1"/>
    <row r="477" ht="20.25" customHeight="1"/>
    <row r="478" ht="20.25" customHeight="1"/>
    <row r="479" ht="20.25" customHeight="1"/>
    <row r="480" ht="20.25" customHeight="1"/>
    <row r="481" ht="20.25" customHeight="1"/>
    <row r="482" ht="20.25" customHeight="1"/>
    <row r="483" ht="20.25" customHeight="1"/>
    <row r="484" ht="20.25" customHeight="1"/>
    <row r="485" ht="20.25" customHeight="1"/>
    <row r="486" ht="20.25" customHeight="1"/>
    <row r="487" ht="20.25" customHeight="1"/>
    <row r="488" ht="20.25" customHeight="1"/>
    <row r="489" ht="20.25" customHeight="1"/>
    <row r="490" ht="20.25" customHeight="1"/>
    <row r="491" ht="20.25" customHeight="1"/>
    <row r="492" ht="20.25" customHeight="1"/>
    <row r="493" ht="20.25" customHeight="1"/>
    <row r="494" ht="20.25" customHeight="1"/>
    <row r="495" ht="20.25" customHeight="1"/>
    <row r="496" ht="20.25" customHeight="1"/>
    <row r="497" ht="20.25" customHeight="1"/>
    <row r="498" ht="20.25" customHeight="1"/>
    <row r="499" ht="20.25" customHeight="1"/>
    <row r="500" ht="20.25" customHeight="1"/>
    <row r="501" ht="20.25" customHeight="1"/>
    <row r="502" ht="20.25" customHeight="1"/>
    <row r="503" ht="20.25" customHeight="1"/>
    <row r="504" ht="20.25" customHeight="1"/>
    <row r="505" ht="20.25" customHeight="1"/>
    <row r="506" ht="20.25" customHeight="1"/>
    <row r="507" ht="20.25" customHeight="1"/>
    <row r="508" ht="20.25" customHeight="1"/>
    <row r="509" ht="20.25" customHeight="1"/>
    <row r="510" ht="20.25" customHeight="1"/>
    <row r="511" ht="20.25" customHeight="1"/>
    <row r="512" ht="20.25" customHeight="1"/>
    <row r="513" ht="20.25" customHeight="1"/>
    <row r="514" ht="20.25" customHeight="1"/>
    <row r="515" ht="20.25" customHeight="1"/>
    <row r="516" ht="20.25" customHeight="1"/>
    <row r="517" ht="20.25" customHeight="1"/>
    <row r="518" ht="20.25" customHeight="1"/>
    <row r="519" ht="20.25" customHeight="1"/>
    <row r="520" ht="20.25" customHeight="1"/>
    <row r="521" ht="20.25" customHeight="1"/>
    <row r="522" ht="20.25" customHeight="1"/>
    <row r="523" ht="20.25" customHeight="1"/>
    <row r="524" ht="20.25" customHeight="1"/>
    <row r="525" ht="20.25" customHeight="1"/>
    <row r="526" ht="20.25" customHeight="1"/>
    <row r="527" ht="20.25" customHeight="1"/>
    <row r="528" ht="20.25" customHeight="1"/>
    <row r="529" ht="20.25" customHeight="1"/>
    <row r="530" ht="20.25" customHeight="1"/>
    <row r="531" ht="20.25" customHeight="1"/>
    <row r="532" ht="20.25" customHeight="1"/>
    <row r="533" ht="20.25" customHeight="1"/>
    <row r="534" ht="20.25" customHeight="1"/>
    <row r="535" ht="20.25" customHeight="1"/>
    <row r="536" ht="20.25" customHeight="1"/>
    <row r="537" ht="20.25" customHeight="1"/>
    <row r="538" ht="20.25" customHeight="1"/>
    <row r="539" ht="20.25" customHeight="1"/>
    <row r="540" ht="20.25" customHeight="1"/>
    <row r="541" ht="20.25" customHeight="1"/>
    <row r="542" ht="20.25" customHeight="1"/>
    <row r="543" ht="20.25" customHeight="1"/>
    <row r="544" ht="20.25" customHeight="1"/>
    <row r="545" ht="20.25" customHeight="1"/>
    <row r="546" ht="20.25" customHeight="1"/>
    <row r="547" ht="20.25" customHeight="1"/>
    <row r="548" ht="20.25" customHeight="1"/>
    <row r="549" ht="20.25" customHeight="1"/>
    <row r="550" ht="20.25" customHeight="1"/>
    <row r="551" ht="20.25" customHeight="1"/>
    <row r="552" ht="20.25" customHeight="1"/>
    <row r="553" ht="20.25" customHeight="1"/>
    <row r="554" ht="20.25" customHeight="1"/>
    <row r="555" ht="20.25" customHeight="1"/>
    <row r="556" ht="20.25" customHeight="1"/>
    <row r="557" ht="20.25" customHeight="1"/>
    <row r="558" ht="20.25" customHeight="1"/>
    <row r="559" ht="20.25" customHeight="1"/>
    <row r="560" ht="20.25" customHeight="1"/>
    <row r="561" ht="20.25" customHeight="1"/>
    <row r="562" ht="20.25" customHeight="1"/>
    <row r="563" ht="20.25" customHeight="1"/>
    <row r="564" ht="20.25" customHeight="1"/>
    <row r="565" ht="20.25" customHeight="1"/>
    <row r="566" ht="20.25" customHeight="1"/>
    <row r="567" ht="20.25" customHeight="1"/>
    <row r="568" ht="20.25" customHeight="1"/>
    <row r="569" ht="20.25" customHeight="1"/>
    <row r="570" ht="20.25" customHeight="1"/>
    <row r="571" ht="20.25" customHeight="1"/>
    <row r="572" ht="20.25" customHeight="1"/>
    <row r="573" ht="20.25" customHeight="1"/>
    <row r="574" ht="20.25" customHeight="1"/>
    <row r="575" ht="20.25" customHeight="1"/>
    <row r="576" ht="20.25" customHeight="1"/>
    <row r="577" ht="20.25" customHeight="1"/>
    <row r="578" ht="20.25" customHeight="1"/>
    <row r="579" ht="20.25" customHeight="1"/>
    <row r="580" ht="20.25" customHeight="1"/>
    <row r="581" ht="20.25" customHeight="1"/>
    <row r="582" ht="20.25" customHeight="1"/>
    <row r="583" ht="20.25" customHeight="1"/>
    <row r="584" ht="20.25" customHeight="1"/>
    <row r="585" ht="20.25" customHeight="1"/>
    <row r="586" ht="20.25" customHeight="1"/>
    <row r="587" ht="20.25" customHeight="1"/>
    <row r="588" ht="20.25" customHeight="1"/>
    <row r="589" ht="20.25" customHeight="1"/>
    <row r="590" ht="20.25" customHeight="1"/>
    <row r="591" ht="20.25" customHeight="1"/>
    <row r="592" ht="20.25" customHeight="1"/>
    <row r="593" ht="20.25" customHeight="1"/>
    <row r="594" ht="20.25" customHeight="1"/>
    <row r="595" ht="20.25" customHeight="1"/>
    <row r="596" ht="20.25" customHeight="1"/>
    <row r="597" ht="20.25" customHeight="1"/>
    <row r="598" ht="20.25" customHeight="1"/>
    <row r="599" ht="20.25" customHeight="1"/>
    <row r="600" ht="20.25" customHeight="1"/>
    <row r="601" ht="20.25" customHeight="1"/>
    <row r="602" ht="20.25" customHeight="1"/>
    <row r="603" ht="20.25" customHeight="1"/>
    <row r="604" ht="20.25" customHeight="1"/>
    <row r="605" ht="20.25" customHeight="1"/>
    <row r="606" ht="20.25" customHeight="1"/>
    <row r="607" ht="20.25" customHeight="1"/>
    <row r="608" ht="20.25" customHeight="1"/>
    <row r="609" ht="20.25" customHeight="1"/>
    <row r="610" ht="20.25" customHeight="1"/>
    <row r="611" ht="20.25" customHeight="1"/>
    <row r="612" ht="20.25" customHeight="1"/>
    <row r="613" ht="20.25" customHeight="1"/>
    <row r="614" ht="20.25" customHeight="1"/>
    <row r="615" ht="20.25" customHeight="1"/>
    <row r="616" ht="20.25" customHeight="1"/>
    <row r="617" ht="20.25" customHeight="1"/>
    <row r="618" ht="20.25" customHeight="1"/>
    <row r="619" ht="20.25" customHeight="1"/>
    <row r="620" ht="20.25" customHeight="1"/>
    <row r="621" ht="20.25" customHeight="1"/>
    <row r="622" ht="20.25" customHeight="1"/>
    <row r="623" ht="20.25" customHeight="1"/>
    <row r="624" ht="20.25" customHeight="1"/>
    <row r="625" ht="20.25" customHeight="1"/>
    <row r="626" ht="20.25" customHeight="1"/>
    <row r="627" ht="20.25" customHeight="1"/>
    <row r="628" ht="20.25" customHeight="1"/>
    <row r="629" ht="20.25" customHeight="1"/>
    <row r="630" ht="20.25" customHeight="1"/>
    <row r="631" ht="20.25" customHeight="1"/>
    <row r="632" ht="20.25" customHeight="1"/>
    <row r="633" ht="20.25" customHeight="1"/>
    <row r="634" ht="20.25" customHeight="1"/>
    <row r="635" ht="20.25" customHeight="1"/>
    <row r="636" ht="20.25" customHeight="1"/>
    <row r="637" ht="20.25" customHeight="1"/>
    <row r="638" ht="20.25" customHeight="1"/>
    <row r="639" ht="20.25" customHeight="1"/>
    <row r="640" ht="20.25" customHeight="1"/>
    <row r="641" ht="20.25" customHeight="1"/>
    <row r="642" ht="20.25" customHeight="1"/>
    <row r="643" ht="20.25" customHeight="1"/>
    <row r="644" ht="20.25" customHeight="1"/>
    <row r="645" ht="20.25" customHeight="1"/>
    <row r="646" ht="20.25" customHeight="1"/>
    <row r="647" ht="20.25" customHeight="1"/>
    <row r="648" ht="20.25" customHeight="1"/>
    <row r="649" ht="20.25" customHeight="1"/>
    <row r="650" ht="20.25" customHeight="1"/>
    <row r="651" ht="20.25" customHeight="1"/>
    <row r="652" ht="20.25" customHeight="1"/>
    <row r="653" ht="20.25" customHeight="1"/>
    <row r="654" ht="20.25" customHeight="1"/>
    <row r="655" ht="20.25" customHeight="1"/>
    <row r="656" ht="20.25" customHeight="1"/>
    <row r="657" ht="20.25" customHeight="1"/>
    <row r="658" ht="20.25" customHeight="1"/>
    <row r="659" ht="20.25" customHeight="1"/>
    <row r="660" ht="20.25" customHeight="1"/>
    <row r="661" ht="20.25" customHeight="1"/>
    <row r="662" ht="20.25" customHeight="1"/>
    <row r="663" ht="20.25" customHeight="1"/>
    <row r="664" ht="20.25" customHeight="1"/>
    <row r="665" ht="20.25" customHeight="1"/>
    <row r="666" ht="20.25" customHeight="1"/>
    <row r="667" ht="20.25" customHeight="1"/>
    <row r="668" ht="20.25" customHeight="1"/>
    <row r="669" ht="20.25" customHeight="1"/>
    <row r="670" ht="20.25" customHeight="1"/>
    <row r="671" ht="20.25" customHeight="1"/>
    <row r="672" ht="20.25" customHeight="1"/>
    <row r="673" ht="20.25" customHeight="1"/>
    <row r="674" ht="20.25" customHeight="1"/>
    <row r="675" ht="20.25" customHeight="1"/>
    <row r="676" ht="20.25" customHeight="1"/>
    <row r="677" ht="20.25" customHeight="1"/>
    <row r="678" ht="20.25" customHeight="1"/>
    <row r="679" ht="20.25" customHeight="1"/>
    <row r="680" ht="20.25" customHeight="1"/>
    <row r="681" ht="20.25" customHeight="1"/>
    <row r="682" ht="20.25" customHeight="1"/>
    <row r="683" ht="20.25" customHeight="1"/>
    <row r="684" ht="20.25" customHeight="1"/>
    <row r="685" ht="20.25" customHeight="1"/>
    <row r="686" ht="20.25" customHeight="1"/>
    <row r="687" ht="20.25" customHeight="1"/>
    <row r="688" ht="20.25" customHeight="1"/>
    <row r="689" ht="20.25" customHeight="1"/>
    <row r="690" ht="20.25" customHeight="1"/>
    <row r="691" ht="20.25" customHeight="1"/>
    <row r="692" ht="20.25" customHeight="1"/>
    <row r="693" ht="20.25" customHeight="1"/>
    <row r="694" ht="20.25" customHeight="1"/>
    <row r="695" ht="20.25" customHeight="1"/>
    <row r="696" ht="20.25" customHeight="1"/>
    <row r="697" ht="20.25" customHeight="1"/>
    <row r="698" ht="20.25" customHeight="1"/>
    <row r="699" ht="20.25" customHeight="1"/>
    <row r="700" ht="20.25" customHeight="1"/>
    <row r="701" ht="20.25" customHeight="1"/>
    <row r="702" ht="20.25" customHeight="1"/>
    <row r="703" ht="20.25" customHeight="1"/>
    <row r="704" ht="20.25" customHeight="1"/>
    <row r="705" ht="20.25" customHeight="1"/>
    <row r="706" ht="20.25" customHeight="1"/>
    <row r="707" ht="20.25" customHeight="1"/>
    <row r="708" ht="20.25" customHeight="1"/>
    <row r="709" ht="20.25" customHeight="1"/>
    <row r="710" ht="20.25" customHeight="1"/>
    <row r="711" ht="20.25" customHeight="1"/>
    <row r="712" ht="20.25" customHeight="1"/>
    <row r="713" ht="20.25" customHeight="1"/>
    <row r="714" ht="20.25" customHeight="1"/>
    <row r="715" ht="20.25" customHeight="1"/>
    <row r="716" ht="20.25" customHeight="1"/>
    <row r="717" ht="20.25" customHeight="1"/>
    <row r="718" ht="20.25" customHeight="1"/>
    <row r="719" ht="20.25" customHeight="1"/>
    <row r="720" ht="20.25" customHeight="1"/>
    <row r="721" ht="20.25" customHeight="1"/>
    <row r="722" ht="20.25" customHeight="1"/>
    <row r="723" ht="20.25" customHeight="1"/>
    <row r="724" ht="20.25" customHeight="1"/>
    <row r="725" ht="20.25" customHeight="1"/>
    <row r="726" ht="20.25" customHeight="1"/>
    <row r="727" ht="20.25" customHeight="1"/>
    <row r="728" ht="20.25" customHeight="1"/>
    <row r="729" ht="20.25" customHeight="1"/>
    <row r="730" ht="20.25" customHeight="1"/>
    <row r="731" ht="20.25" customHeight="1"/>
    <row r="732" ht="20.25" customHeight="1"/>
    <row r="733" ht="20.25" customHeight="1"/>
    <row r="734" ht="20.25" customHeight="1"/>
    <row r="735" ht="20.25" customHeight="1"/>
    <row r="736" ht="20.25" customHeight="1"/>
    <row r="737" ht="20.25" customHeight="1"/>
    <row r="738" ht="20.25" customHeight="1"/>
    <row r="739" ht="20.25" customHeight="1"/>
    <row r="740" ht="20.25" customHeight="1"/>
    <row r="741" ht="20.25" customHeight="1"/>
    <row r="742" ht="20.25" customHeight="1"/>
    <row r="743" ht="20.25" customHeight="1"/>
    <row r="744" ht="20.25" customHeight="1"/>
    <row r="745" ht="20.25" customHeight="1"/>
    <row r="746" ht="20.25" customHeight="1"/>
    <row r="747" ht="20.25" customHeight="1"/>
    <row r="748" ht="20.25" customHeight="1"/>
    <row r="749" ht="20.25" customHeight="1"/>
    <row r="750" ht="20.25" customHeight="1"/>
    <row r="751" ht="20.25" customHeight="1"/>
    <row r="752" ht="20.25" customHeight="1"/>
    <row r="753" ht="20.25" customHeight="1"/>
    <row r="754" ht="20.25" customHeight="1"/>
    <row r="755" ht="20.25" customHeight="1"/>
    <row r="756" ht="20.25" customHeight="1"/>
    <row r="757" ht="20.25" customHeight="1"/>
    <row r="758" ht="20.25" customHeight="1"/>
    <row r="759" ht="20.25" customHeight="1"/>
    <row r="760" ht="20.25" customHeight="1"/>
    <row r="761" ht="20.25" customHeight="1"/>
    <row r="762" ht="20.25" customHeight="1"/>
    <row r="763" ht="20.25" customHeight="1"/>
    <row r="764" ht="20.25" customHeight="1"/>
    <row r="765" ht="20.25" customHeight="1"/>
    <row r="766" ht="20.25" customHeight="1"/>
    <row r="767" ht="20.25" customHeight="1"/>
    <row r="768" ht="20.25" customHeight="1"/>
    <row r="769" ht="20.25" customHeight="1"/>
    <row r="770" ht="20.25" customHeight="1"/>
    <row r="771" ht="20.25" customHeight="1"/>
    <row r="772" ht="20.25" customHeight="1"/>
    <row r="773" ht="20.25" customHeight="1"/>
    <row r="774" ht="20.25" customHeight="1"/>
    <row r="775" ht="20.25" customHeight="1"/>
    <row r="776" ht="20.25" customHeight="1"/>
    <row r="777" ht="20.25" customHeight="1"/>
    <row r="778" ht="20.25" customHeight="1"/>
    <row r="779" ht="20.25" customHeight="1"/>
    <row r="780" ht="20.25" customHeight="1"/>
    <row r="781" ht="20.25" customHeight="1"/>
    <row r="782" ht="20.25" customHeight="1"/>
    <row r="783" ht="20.25" customHeight="1"/>
    <row r="784" ht="20.25" customHeight="1"/>
    <row r="785" ht="20.25" customHeight="1"/>
    <row r="786" ht="20.25" customHeight="1"/>
    <row r="787" ht="20.25" customHeight="1"/>
    <row r="788" ht="20.25" customHeight="1"/>
    <row r="789" ht="20.25" customHeight="1"/>
    <row r="790" ht="20.25" customHeight="1"/>
    <row r="791" ht="20.25" customHeight="1"/>
    <row r="792" ht="20.25" customHeight="1"/>
    <row r="793" ht="20.25" customHeight="1"/>
    <row r="794" ht="20.25" customHeight="1"/>
    <row r="795" ht="20.25" customHeight="1"/>
    <row r="796" ht="20.25" customHeight="1"/>
    <row r="797" ht="20.25" customHeight="1"/>
    <row r="798" ht="20.25" customHeight="1"/>
    <row r="799" ht="20.25" customHeight="1"/>
    <row r="800" ht="20.25" customHeight="1"/>
    <row r="801" ht="20.25" customHeight="1"/>
    <row r="802" ht="20.25" customHeight="1"/>
    <row r="803" ht="20.25" customHeight="1"/>
    <row r="804" ht="20.25" customHeight="1"/>
    <row r="805" ht="20.25" customHeight="1"/>
    <row r="806" ht="20.25" customHeight="1"/>
    <row r="807" ht="20.25" customHeight="1"/>
    <row r="808" ht="20.25" customHeight="1"/>
    <row r="809" ht="20.25" customHeight="1"/>
    <row r="810" ht="20.25" customHeight="1"/>
    <row r="811" ht="20.25" customHeight="1"/>
    <row r="812" ht="20.25" customHeight="1"/>
    <row r="813" ht="20.25" customHeight="1"/>
    <row r="814" ht="20.25" customHeight="1"/>
    <row r="815" ht="20.25" customHeight="1"/>
    <row r="816" ht="20.25" customHeight="1"/>
    <row r="817" ht="20.25" customHeight="1"/>
    <row r="818" ht="20.25" customHeight="1"/>
    <row r="819" ht="20.25" customHeight="1"/>
    <row r="820" ht="20.25" customHeight="1"/>
    <row r="821" ht="20.25" customHeight="1"/>
    <row r="822" ht="20.25" customHeight="1"/>
    <row r="823" ht="20.25" customHeight="1"/>
    <row r="824" ht="20.25" customHeight="1"/>
    <row r="825" ht="20.25" customHeight="1"/>
    <row r="826" ht="20.25" customHeight="1"/>
    <row r="827" ht="20.25" customHeight="1"/>
    <row r="828" ht="20.25" customHeight="1"/>
    <row r="829" ht="20.25" customHeight="1"/>
    <row r="830" ht="20.25" customHeight="1"/>
    <row r="831" ht="20.25" customHeight="1"/>
    <row r="832" ht="20.25" customHeight="1"/>
    <row r="833" ht="20.25" customHeight="1"/>
    <row r="834" ht="20.25" customHeight="1"/>
    <row r="835" ht="20.25" customHeight="1"/>
    <row r="836" ht="20.25" customHeight="1"/>
    <row r="837" ht="20.25" customHeight="1"/>
    <row r="838" ht="20.25" customHeight="1"/>
    <row r="839" ht="20.25" customHeight="1"/>
    <row r="840" ht="20.25" customHeight="1"/>
    <row r="841" ht="20.25" customHeight="1"/>
    <row r="842" ht="20.25" customHeight="1"/>
    <row r="843" ht="20.25" customHeight="1"/>
    <row r="844" ht="20.25" customHeight="1"/>
    <row r="845" ht="20.25" customHeight="1"/>
    <row r="846" ht="20.25" customHeight="1"/>
    <row r="847" ht="20.25" customHeight="1"/>
    <row r="848" ht="20.25" customHeight="1"/>
    <row r="849" ht="20.25" customHeight="1"/>
    <row r="850" ht="20.25" customHeight="1"/>
    <row r="851" ht="20.25" customHeight="1"/>
    <row r="852" ht="20.25" customHeight="1"/>
    <row r="853" ht="20.25" customHeight="1"/>
    <row r="854" ht="20.25" customHeight="1"/>
    <row r="855" ht="20.25" customHeight="1"/>
    <row r="856" ht="20.25" customHeight="1"/>
    <row r="857" ht="20.25" customHeight="1"/>
    <row r="858" ht="20.25" customHeight="1"/>
    <row r="859" ht="20.25" customHeight="1"/>
    <row r="860" ht="20.25" customHeight="1"/>
    <row r="861" ht="20.25" customHeight="1"/>
    <row r="862" ht="20.25" customHeight="1"/>
    <row r="863" ht="20.25" customHeight="1"/>
    <row r="864" ht="20.25" customHeight="1"/>
    <row r="865" ht="20.25" customHeight="1"/>
    <row r="866" ht="20.25" customHeight="1"/>
    <row r="867" ht="20.25" customHeight="1"/>
    <row r="868" ht="20.25" customHeight="1"/>
    <row r="869" ht="20.25" customHeight="1"/>
    <row r="870" ht="20.25" customHeight="1"/>
    <row r="871" ht="20.25" customHeight="1"/>
    <row r="872" ht="20.25" customHeight="1"/>
    <row r="873" ht="20.25" customHeight="1"/>
    <row r="874" ht="20.25" customHeight="1"/>
    <row r="875" ht="20.25" customHeight="1"/>
    <row r="876" ht="20.25" customHeight="1"/>
    <row r="877" ht="20.25" customHeight="1"/>
    <row r="878" ht="20.25" customHeight="1"/>
    <row r="879" ht="20.25" customHeight="1"/>
    <row r="880" ht="20.25" customHeight="1"/>
    <row r="881" ht="20.25" customHeight="1"/>
    <row r="882" ht="20.25" customHeight="1"/>
    <row r="883" ht="20.25" customHeight="1"/>
    <row r="884" ht="20.25" customHeight="1"/>
    <row r="885" ht="20.25" customHeight="1"/>
    <row r="886" ht="20.25" customHeight="1"/>
    <row r="887" ht="20.25" customHeight="1"/>
    <row r="888" ht="20.25" customHeight="1"/>
    <row r="889" ht="20.25" customHeight="1"/>
    <row r="890" ht="20.25" customHeight="1"/>
    <row r="891" ht="20.25" customHeight="1"/>
    <row r="892" ht="20.25" customHeight="1"/>
    <row r="893" ht="20.25" customHeight="1"/>
    <row r="894" ht="20.25" customHeight="1"/>
    <row r="895" ht="20.25" customHeight="1"/>
    <row r="896" ht="20.25" customHeight="1"/>
    <row r="897" ht="20.25" customHeight="1"/>
    <row r="898" ht="20.25" customHeight="1"/>
    <row r="899" ht="20.25" customHeight="1"/>
    <row r="900" ht="20.25" customHeight="1"/>
    <row r="901" ht="20.25" customHeight="1"/>
    <row r="902" ht="20.25" customHeight="1"/>
    <row r="903" ht="20.25" customHeight="1"/>
    <row r="904" ht="20.25" customHeight="1"/>
    <row r="905" ht="20.25" customHeight="1"/>
    <row r="906" ht="20.25" customHeight="1"/>
    <row r="907" ht="20.25" customHeight="1"/>
    <row r="908" ht="20.25" customHeight="1"/>
    <row r="909" ht="20.25" customHeight="1"/>
    <row r="910" ht="20.25" customHeight="1"/>
    <row r="911" ht="20.25" customHeight="1"/>
    <row r="912" ht="20.25" customHeight="1"/>
    <row r="913" ht="20.25" customHeight="1"/>
    <row r="914" ht="20.25" customHeight="1"/>
    <row r="915" ht="20.25" customHeight="1"/>
    <row r="916" ht="20.25" customHeight="1"/>
    <row r="917" ht="20.25" customHeight="1"/>
    <row r="918" ht="20.25" customHeight="1"/>
    <row r="919" ht="20.25" customHeight="1"/>
    <row r="920" ht="20.25" customHeight="1"/>
    <row r="921" ht="20.25" customHeight="1"/>
    <row r="922" ht="20.25" customHeight="1"/>
    <row r="923" ht="20.25" customHeight="1"/>
    <row r="924" ht="20.25" customHeight="1"/>
    <row r="925" ht="20.25" customHeight="1"/>
    <row r="926" ht="20.25" customHeight="1"/>
    <row r="927" ht="20.25" customHeight="1"/>
    <row r="928" ht="20.25" customHeight="1"/>
    <row r="929" ht="20.25" customHeight="1"/>
    <row r="930" ht="20.25" customHeight="1"/>
    <row r="931" ht="20.25" customHeight="1"/>
    <row r="932" ht="20.25" customHeight="1"/>
    <row r="933" ht="20.25" customHeight="1"/>
    <row r="934" ht="20.25" customHeight="1"/>
    <row r="935" ht="20.25" customHeight="1"/>
    <row r="936" ht="20.25" customHeight="1"/>
    <row r="937" ht="20.25" customHeight="1"/>
    <row r="938" ht="20.25" customHeight="1"/>
    <row r="939" ht="20.25" customHeight="1"/>
    <row r="940" ht="20.25" customHeight="1"/>
    <row r="941" ht="20.25" customHeight="1"/>
    <row r="942" ht="20.25" customHeight="1"/>
    <row r="943" ht="20.25" customHeight="1"/>
    <row r="944" ht="20.25" customHeight="1"/>
    <row r="945" ht="20.25" customHeight="1"/>
    <row r="946" ht="20.25" customHeight="1"/>
    <row r="947" ht="20.25" customHeight="1"/>
    <row r="948" ht="20.25" customHeight="1"/>
    <row r="949" ht="20.25" customHeight="1"/>
    <row r="950" ht="20.25" customHeight="1"/>
    <row r="951" ht="20.25" customHeight="1"/>
    <row r="952" ht="20.25" customHeight="1"/>
    <row r="953" ht="20.25" customHeight="1"/>
    <row r="954" ht="20.25" customHeight="1"/>
    <row r="955" ht="20.25" customHeight="1"/>
    <row r="956" ht="20.25" customHeight="1"/>
    <row r="957" ht="20.25" customHeight="1"/>
    <row r="958" ht="20.25" customHeight="1"/>
    <row r="959" ht="20.25" customHeight="1"/>
    <row r="960" ht="20.25" customHeight="1"/>
    <row r="961" ht="20.25" customHeight="1"/>
    <row r="962" ht="20.25" customHeight="1"/>
    <row r="963" ht="20.25" customHeight="1"/>
    <row r="964" ht="20.25" customHeight="1"/>
    <row r="965" ht="20.25" customHeight="1"/>
    <row r="966" ht="20.25" customHeight="1"/>
    <row r="967" ht="20.25" customHeight="1"/>
    <row r="968" ht="20.25" customHeight="1"/>
    <row r="969" ht="20.25" customHeight="1"/>
    <row r="970" ht="20.25" customHeight="1"/>
    <row r="971" ht="20.25" customHeight="1"/>
    <row r="972" ht="20.25" customHeight="1"/>
    <row r="973" ht="20.25" customHeight="1"/>
    <row r="974" ht="20.25" customHeight="1"/>
    <row r="975" ht="20.25" customHeight="1"/>
    <row r="976" ht="20.25" customHeight="1"/>
    <row r="977" ht="20.25" customHeight="1"/>
    <row r="978" ht="20.25" customHeight="1"/>
    <row r="979" ht="20.25" customHeight="1"/>
    <row r="980" ht="20.25" customHeight="1"/>
    <row r="981" ht="20.25" customHeight="1"/>
    <row r="982" ht="20.25" customHeight="1"/>
    <row r="983" ht="20.25" customHeight="1"/>
    <row r="984" ht="20.25" customHeight="1"/>
    <row r="985" ht="20.25" customHeight="1"/>
    <row r="986" ht="20.25" customHeight="1"/>
    <row r="987" ht="20.25" customHeight="1"/>
    <row r="988" ht="20.25" customHeight="1"/>
    <row r="989" ht="20.25" customHeight="1"/>
    <row r="990" ht="20.25" customHeight="1"/>
    <row r="991" ht="20.25" customHeight="1"/>
    <row r="992" ht="20.25" customHeight="1"/>
    <row r="993" ht="20.25" customHeight="1"/>
    <row r="994" ht="20.25" customHeight="1"/>
    <row r="995" ht="20.25" customHeight="1"/>
    <row r="996" ht="20.25" customHeight="1"/>
    <row r="997" ht="20.25" customHeight="1"/>
    <row r="998" ht="20.25" customHeight="1"/>
    <row r="999" ht="20.25" customHeight="1"/>
    <row r="1000" ht="20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 Session_Description</vt:lpstr>
      <vt:lpstr>logical fns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akhilesh nishad</cp:lastModifiedBy>
  <dcterms:created xsi:type="dcterms:W3CDTF">2023-03-30T06:07:34Z</dcterms:created>
  <dcterms:modified xsi:type="dcterms:W3CDTF">2026-02-15T12:06:43Z</dcterms:modified>
</cp:coreProperties>
</file>