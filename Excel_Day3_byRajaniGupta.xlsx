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drawings/drawing3.xml" ContentType="application/vnd.openxmlformats-officedocument.drawing+xml"/>
  <Override PartName="/xl/diagrams/data2.xml" ContentType="application/vnd.openxmlformats-officedocument.drawingml.diagramData+xml"/>
  <Override PartName="/xl/diagrams/layout2.xml" ContentType="application/vnd.openxmlformats-officedocument.drawingml.diagramLayout+xml"/>
  <Override PartName="/xl/diagrams/quickStyle2.xml" ContentType="application/vnd.openxmlformats-officedocument.drawingml.diagramStyle+xml"/>
  <Override PartName="/xl/diagrams/colors2.xml" ContentType="application/vnd.openxmlformats-officedocument.drawingml.diagramColors+xml"/>
  <Override PartName="/xl/diagrams/drawing2.xml" ContentType="application/vnd.ms-office.drawingml.diagramDrawing+xml"/>
  <Override PartName="/xl/drawings/drawing4.xml" ContentType="application/vnd.openxmlformats-officedocument.drawing+xml"/>
  <Override PartName="/xl/diagrams/data3.xml" ContentType="application/vnd.openxmlformats-officedocument.drawingml.diagramData+xml"/>
  <Override PartName="/xl/diagrams/layout3.xml" ContentType="application/vnd.openxmlformats-officedocument.drawingml.diagramLayout+xml"/>
  <Override PartName="/xl/diagrams/quickStyle3.xml" ContentType="application/vnd.openxmlformats-officedocument.drawingml.diagramStyle+xml"/>
  <Override PartName="/xl/diagrams/colors3.xml" ContentType="application/vnd.openxmlformats-officedocument.drawingml.diagramColors+xml"/>
  <Override PartName="/xl/diagrams/drawing3.xml" ContentType="application/vnd.ms-office.drawingml.diagram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hil\OneDrive\Desktop\ExcelerAllTopic\Excel\Excel All file\"/>
    </mc:Choice>
  </mc:AlternateContent>
  <xr:revisionPtr revIDLastSave="0" documentId="13_ncr:1_{93635B50-349C-4997-862A-A9F858CDA641}" xr6:coauthVersionLast="47" xr6:coauthVersionMax="47" xr10:uidLastSave="{00000000-0000-0000-0000-000000000000}"/>
  <bookViews>
    <workbookView xWindow="-108" yWindow="-108" windowWidth="23256" windowHeight="13176" firstSheet="2" activeTab="11" xr2:uid="{B2C5404D-0263-407F-8997-219230CB91B6}"/>
  </bookViews>
  <sheets>
    <sheet name="Topics" sheetId="1" r:id="rId1"/>
    <sheet name=" Sales Performance Analysis" sheetId="2" r:id="rId2"/>
    <sheet name="SPA_SOlution" sheetId="3" r:id="rId3"/>
    <sheet name="MisisngData" sheetId="4" r:id="rId4"/>
    <sheet name="Sheet3" sheetId="12" r:id="rId5"/>
    <sheet name="IF" sheetId="5" r:id="rId6"/>
    <sheet name="And" sheetId="6" r:id="rId7"/>
    <sheet name="Sheet2" sheetId="10" r:id="rId8"/>
    <sheet name="Sheet1" sheetId="9" r:id="rId9"/>
    <sheet name="IfError" sheetId="8" r:id="rId10"/>
    <sheet name="OR" sheetId="7" r:id="rId11"/>
    <sheet name="OR1" sheetId="11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" i="4" l="1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" i="4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10" i="2"/>
  <c r="F12" i="8"/>
  <c r="F9" i="8"/>
  <c r="M4" i="7"/>
  <c r="M5" i="7"/>
  <c r="M6" i="7"/>
  <c r="M7" i="7"/>
  <c r="M8" i="7"/>
  <c r="M9" i="7"/>
  <c r="L9" i="7"/>
  <c r="L8" i="7"/>
  <c r="L7" i="7"/>
  <c r="L6" i="7"/>
  <c r="L5" i="7"/>
  <c r="L4" i="7"/>
  <c r="C3" i="11"/>
  <c r="C4" i="11"/>
  <c r="C5" i="11"/>
  <c r="C2" i="11"/>
  <c r="L6" i="6"/>
  <c r="L7" i="6"/>
  <c r="L8" i="6"/>
  <c r="L9" i="6"/>
  <c r="L10" i="6"/>
  <c r="L5" i="6"/>
  <c r="C6" i="9"/>
  <c r="C7" i="9"/>
  <c r="C5" i="9"/>
  <c r="C4" i="9"/>
  <c r="S5" i="5"/>
  <c r="S6" i="5"/>
  <c r="S7" i="5"/>
  <c r="S8" i="5"/>
  <c r="S9" i="5"/>
  <c r="S4" i="5"/>
  <c r="F11" i="8"/>
  <c r="N20" i="4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" i="3"/>
  <c r="G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1" i="4"/>
  <c r="N2" i="4"/>
  <c r="F10" i="8"/>
  <c r="J6" i="6"/>
  <c r="K6" i="6" s="1"/>
  <c r="J7" i="6"/>
  <c r="K7" i="6" s="1"/>
  <c r="J8" i="6"/>
  <c r="K8" i="6" s="1"/>
  <c r="J9" i="6"/>
  <c r="K9" i="6" s="1"/>
  <c r="J10" i="6"/>
  <c r="K10" i="6" s="1"/>
  <c r="J5" i="6"/>
  <c r="K5" i="6" s="1"/>
  <c r="N32" i="2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" i="4"/>
  <c r="M13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" i="4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" i="3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" i="4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" i="3"/>
  <c r="G12" i="8"/>
  <c r="D4" i="9"/>
  <c r="T5" i="5"/>
  <c r="T4" i="5"/>
  <c r="D5" i="9"/>
  <c r="D7" i="9"/>
  <c r="D6" i="9"/>
  <c r="T6" i="5"/>
  <c r="T7" i="5"/>
  <c r="T8" i="5"/>
  <c r="T9" i="5"/>
</calcChain>
</file>

<file path=xl/sharedStrings.xml><?xml version="1.0" encoding="utf-8"?>
<sst xmlns="http://schemas.openxmlformats.org/spreadsheetml/2006/main" count="231" uniqueCount="102">
  <si>
    <t>Logical Functions</t>
  </si>
  <si>
    <t>IF</t>
  </si>
  <si>
    <t>AND</t>
  </si>
  <si>
    <t>OR</t>
  </si>
  <si>
    <t>Nested Ifs</t>
  </si>
  <si>
    <t>NOT</t>
  </si>
  <si>
    <t>IFERROR</t>
  </si>
  <si>
    <t>Usage of All functions together</t>
  </si>
  <si>
    <t>Case Study: Sales Performance Analysis</t>
  </si>
  <si>
    <t>Scenario:</t>
  </si>
  <si>
    <t>You are a sales manager at XYZ Electronics. You have a dataset containing sales data for different sales representatives. Your task is to analyze this data using various logical and mathematical functions in Excel to derive insights and make business decisions.</t>
  </si>
  <si>
    <t>Dataset:</t>
  </si>
  <si>
    <t>SalesRep</t>
  </si>
  <si>
    <t>Region</t>
  </si>
  <si>
    <t>SalesAmount</t>
  </si>
  <si>
    <t>ItemsSold</t>
  </si>
  <si>
    <t>Target</t>
  </si>
  <si>
    <t>Rating</t>
  </si>
  <si>
    <t>John</t>
  </si>
  <si>
    <t>North</t>
  </si>
  <si>
    <t>Mary</t>
  </si>
  <si>
    <t>South</t>
  </si>
  <si>
    <t>Paul</t>
  </si>
  <si>
    <t>East</t>
  </si>
  <si>
    <t>Lisa</t>
  </si>
  <si>
    <t>West</t>
  </si>
  <si>
    <t>Mark</t>
  </si>
  <si>
    <t>James</t>
  </si>
  <si>
    <t>Linda</t>
  </si>
  <si>
    <t>Nancy</t>
  </si>
  <si>
    <t>Steve</t>
  </si>
  <si>
    <t>Karen</t>
  </si>
  <si>
    <t>Jim</t>
  </si>
  <si>
    <t>Tom</t>
  </si>
  <si>
    <t>Tim</t>
  </si>
  <si>
    <t>Sarah</t>
  </si>
  <si>
    <t>Mike</t>
  </si>
  <si>
    <t>Laura</t>
  </si>
  <si>
    <t>Kate</t>
  </si>
  <si>
    <t>Bob</t>
  </si>
  <si>
    <t>Alex</t>
  </si>
  <si>
    <t>Jane</t>
  </si>
  <si>
    <r>
      <t xml:space="preserve">If the </t>
    </r>
    <r>
      <rPr>
        <sz val="11"/>
        <color theme="1"/>
        <rFont val="Arial Unicode MS"/>
      </rPr>
      <t>SalesAmount</t>
    </r>
    <r>
      <rPr>
        <sz val="11"/>
        <color theme="1"/>
        <rFont val="Calibri"/>
        <family val="2"/>
        <scheme val="minor"/>
      </rPr>
      <t xml:space="preserve"> is greater than the </t>
    </r>
    <r>
      <rPr>
        <sz val="11"/>
        <color theme="1"/>
        <rFont val="Arial Unicode MS"/>
      </rPr>
      <t>Target</t>
    </r>
    <r>
      <rPr>
        <sz val="11"/>
        <color theme="1"/>
        <rFont val="Calibri"/>
        <family val="2"/>
        <scheme val="minor"/>
      </rPr>
      <t>, the sales representative is eligible for a bonus.</t>
    </r>
  </si>
  <si>
    <r>
      <t xml:space="preserve">Use the </t>
    </r>
    <r>
      <rPr>
        <b/>
        <sz val="11"/>
        <color theme="1"/>
        <rFont val="Calibri"/>
        <family val="2"/>
        <scheme val="minor"/>
      </rPr>
      <t>IF</t>
    </r>
    <r>
      <rPr>
        <sz val="11"/>
        <color theme="1"/>
        <rFont val="Calibri"/>
        <family val="2"/>
        <scheme val="minor"/>
      </rPr>
      <t xml:space="preserve"> function to create a new column </t>
    </r>
    <r>
      <rPr>
        <sz val="11"/>
        <color theme="1"/>
        <rFont val="Arial Unicode MS"/>
      </rPr>
      <t>BonusEligible</t>
    </r>
    <r>
      <rPr>
        <sz val="11"/>
        <color theme="1"/>
        <rFont val="Calibri"/>
        <family val="2"/>
        <scheme val="minor"/>
      </rPr>
      <t xml:space="preserve"> to indicate "Yes" or "No".</t>
    </r>
  </si>
  <si>
    <t>Bonus Eligible</t>
  </si>
  <si>
    <t>Calculate Bonus Amount:</t>
  </si>
  <si>
    <r>
      <t xml:space="preserve">If the sales representative is eligible for a bonus, the bonus is 10% of the </t>
    </r>
    <r>
      <rPr>
        <sz val="10"/>
        <color theme="1"/>
        <rFont val="Arial Unicode MS"/>
      </rPr>
      <t>SalesAmount</t>
    </r>
    <r>
      <rPr>
        <sz val="11"/>
        <color theme="1"/>
        <rFont val="Calibri"/>
        <family val="2"/>
        <scheme val="minor"/>
      </rPr>
      <t>.</t>
    </r>
  </si>
  <si>
    <r>
      <t xml:space="preserve">Use a combination of </t>
    </r>
    <r>
      <rPr>
        <b/>
        <sz val="11"/>
        <color theme="1"/>
        <rFont val="Calibri"/>
        <family val="2"/>
        <scheme val="minor"/>
      </rPr>
      <t>IF</t>
    </r>
    <r>
      <rPr>
        <sz val="11"/>
        <color theme="1"/>
        <rFont val="Calibri"/>
        <family val="2"/>
        <scheme val="minor"/>
      </rPr>
      <t xml:space="preserve"> and mathematical functions to create a new column </t>
    </r>
    <r>
      <rPr>
        <sz val="10"/>
        <color theme="1"/>
        <rFont val="Arial Unicode MS"/>
      </rPr>
      <t>BonusAmount</t>
    </r>
    <r>
      <rPr>
        <sz val="11"/>
        <color theme="1"/>
        <rFont val="Calibri"/>
        <family val="2"/>
        <scheme val="minor"/>
      </rPr>
      <t>.</t>
    </r>
  </si>
  <si>
    <t>Bonus Amount</t>
  </si>
  <si>
    <t>Identify High Performers:</t>
  </si>
  <si>
    <r>
      <t xml:space="preserve">Use the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function to create a new column </t>
    </r>
    <r>
      <rPr>
        <sz val="10"/>
        <color theme="1"/>
        <rFont val="Arial Unicode MS"/>
      </rPr>
      <t>HighPerformer</t>
    </r>
    <r>
      <rPr>
        <sz val="11"/>
        <color theme="1"/>
        <rFont val="Calibri"/>
        <family val="2"/>
        <scheme val="minor"/>
      </rPr>
      <t xml:space="preserve"> to indicate "Yes" or "No".</t>
    </r>
  </si>
  <si>
    <t>High performance</t>
  </si>
  <si>
    <t>Calculate Discount:</t>
  </si>
  <si>
    <t>Handle Missing or Incorrect Data:</t>
  </si>
  <si>
    <r>
      <t xml:space="preserve">If the </t>
    </r>
    <r>
      <rPr>
        <sz val="10"/>
        <color theme="1"/>
        <rFont val="Arial Unicode MS"/>
      </rPr>
      <t>SalesAmount</t>
    </r>
    <r>
      <rPr>
        <sz val="11"/>
        <color theme="1"/>
        <rFont val="Calibri"/>
        <family val="2"/>
        <scheme val="minor"/>
      </rPr>
      <t xml:space="preserve"> or </t>
    </r>
    <r>
      <rPr>
        <sz val="10"/>
        <color theme="1"/>
        <rFont val="Arial Unicode MS"/>
      </rPr>
      <t>ItemsSold</t>
    </r>
    <r>
      <rPr>
        <sz val="11"/>
        <color theme="1"/>
        <rFont val="Calibri"/>
        <family val="2"/>
        <scheme val="minor"/>
      </rPr>
      <t xml:space="preserve"> are zero or missing, handle it by returning an error message.</t>
    </r>
  </si>
  <si>
    <r>
      <t xml:space="preserve">Use the </t>
    </r>
    <r>
      <rPr>
        <b/>
        <sz val="11"/>
        <color theme="1"/>
        <rFont val="Calibri"/>
        <family val="2"/>
        <scheme val="minor"/>
      </rPr>
      <t>IFERROR</t>
    </r>
    <r>
      <rPr>
        <sz val="11"/>
        <color theme="1"/>
        <rFont val="Calibri"/>
        <family val="2"/>
        <scheme val="minor"/>
      </rPr>
      <t xml:space="preserve"> function to create a new column </t>
    </r>
    <r>
      <rPr>
        <sz val="10"/>
        <color theme="1"/>
        <rFont val="Arial Unicode MS"/>
      </rPr>
      <t>ValidData</t>
    </r>
    <r>
      <rPr>
        <sz val="11"/>
        <color theme="1"/>
        <rFont val="Calibri"/>
        <family val="2"/>
        <scheme val="minor"/>
      </rPr>
      <t xml:space="preserve"> to indicate "Valid" or "Error".</t>
    </r>
  </si>
  <si>
    <t>Complex Bonus Calculation:</t>
  </si>
  <si>
    <r>
      <t xml:space="preserve">If </t>
    </r>
    <r>
      <rPr>
        <sz val="10"/>
        <color theme="1"/>
        <rFont val="Arial Unicode MS"/>
      </rPr>
      <t>SalesAmount</t>
    </r>
    <r>
      <rPr>
        <sz val="11"/>
        <color theme="1"/>
        <rFont val="Calibri"/>
        <family val="2"/>
        <scheme val="minor"/>
      </rPr>
      <t xml:space="preserve"> &gt; $1500, bonus is 15% of </t>
    </r>
    <r>
      <rPr>
        <sz val="10"/>
        <color theme="1"/>
        <rFont val="Arial Unicode MS"/>
      </rPr>
      <t>SalesAmount</t>
    </r>
    <r>
      <rPr>
        <sz val="11"/>
        <color theme="1"/>
        <rFont val="Calibri"/>
        <family val="2"/>
        <scheme val="minor"/>
      </rPr>
      <t>.</t>
    </r>
  </si>
  <si>
    <r>
      <t xml:space="preserve">If $1000 &lt; </t>
    </r>
    <r>
      <rPr>
        <sz val="10"/>
        <color theme="1"/>
        <rFont val="Arial Unicode MS"/>
      </rPr>
      <t>SalesAmount</t>
    </r>
    <r>
      <rPr>
        <sz val="11"/>
        <color theme="1"/>
        <rFont val="Calibri"/>
        <family val="2"/>
        <scheme val="minor"/>
      </rPr>
      <t xml:space="preserve"> &lt;= $1500, bonus is 10%.</t>
    </r>
  </si>
  <si>
    <r>
      <t xml:space="preserve">If </t>
    </r>
    <r>
      <rPr>
        <sz val="10"/>
        <color theme="1"/>
        <rFont val="Arial Unicode MS"/>
      </rPr>
      <t>SalesAmount</t>
    </r>
    <r>
      <rPr>
        <sz val="11"/>
        <color theme="1"/>
        <rFont val="Calibri"/>
        <family val="2"/>
        <scheme val="minor"/>
      </rPr>
      <t xml:space="preserve"> &lt;= $1000, no bonus.</t>
    </r>
  </si>
  <si>
    <r>
      <t xml:space="preserve">Use nested </t>
    </r>
    <r>
      <rPr>
        <b/>
        <sz val="11"/>
        <color theme="1"/>
        <rFont val="Calibri"/>
        <family val="2"/>
        <scheme val="minor"/>
      </rPr>
      <t>IF</t>
    </r>
    <r>
      <rPr>
        <sz val="11"/>
        <color theme="1"/>
        <rFont val="Calibri"/>
        <family val="2"/>
        <scheme val="minor"/>
      </rPr>
      <t xml:space="preserve"> statements to calculate this in a new column </t>
    </r>
    <r>
      <rPr>
        <sz val="10"/>
        <color theme="1"/>
        <rFont val="Arial Unicode MS"/>
      </rPr>
      <t>ComplexBonus</t>
    </r>
    <r>
      <rPr>
        <sz val="11"/>
        <color theme="1"/>
        <rFont val="Calibri"/>
        <family val="2"/>
        <scheme val="minor"/>
      </rPr>
      <t>.</t>
    </r>
  </si>
  <si>
    <t>Bonus Calculation</t>
  </si>
  <si>
    <t>Discount eligible</t>
  </si>
  <si>
    <t>Determine Bonus Eligibility:</t>
  </si>
  <si>
    <t>Bonus Eligiblity</t>
  </si>
  <si>
    <t>Name</t>
  </si>
  <si>
    <t>Quantity</t>
  </si>
  <si>
    <t>Total Spent</t>
  </si>
  <si>
    <t>Aditya</t>
  </si>
  <si>
    <t>Padshree</t>
  </si>
  <si>
    <t>Nilima</t>
  </si>
  <si>
    <t>Ankit</t>
  </si>
  <si>
    <t>Sarvesh</t>
  </si>
  <si>
    <t>Roshan</t>
  </si>
  <si>
    <t>Padamshree</t>
  </si>
  <si>
    <t>Experience</t>
  </si>
  <si>
    <t>Skills</t>
  </si>
  <si>
    <t xml:space="preserve">Sales person </t>
  </si>
  <si>
    <t>Sales</t>
  </si>
  <si>
    <t>Eligible for bonus</t>
  </si>
  <si>
    <t>Shortlisted ?</t>
  </si>
  <si>
    <t>Discount ?</t>
  </si>
  <si>
    <t>BonusEligible</t>
  </si>
  <si>
    <t>Number1</t>
  </si>
  <si>
    <t>Number2</t>
  </si>
  <si>
    <t>Condtion1</t>
  </si>
  <si>
    <t>Condtion2</t>
  </si>
  <si>
    <t>Skill</t>
  </si>
  <si>
    <t>exp</t>
  </si>
  <si>
    <t>SHORTLISTED ?</t>
  </si>
  <si>
    <t>Result</t>
  </si>
  <si>
    <t>Credit Score</t>
  </si>
  <si>
    <t>Job Stable</t>
  </si>
  <si>
    <t>status ?</t>
  </si>
  <si>
    <t>BonusAmount.</t>
  </si>
  <si>
    <r>
      <t xml:space="preserve">High performers are those </t>
    </r>
    <r>
      <rPr>
        <b/>
        <sz val="11"/>
        <color theme="1"/>
        <rFont val="Calibri"/>
        <family val="2"/>
        <scheme val="minor"/>
      </rPr>
      <t>who have sold more than 12 items and have a rating of 4.0 or above.</t>
    </r>
  </si>
  <si>
    <t xml:space="preserve"> HighPerformer</t>
  </si>
  <si>
    <r>
      <t>Sales representatives</t>
    </r>
    <r>
      <rPr>
        <b/>
        <sz val="11"/>
        <color theme="1"/>
        <rFont val="Calibri"/>
        <family val="2"/>
        <scheme val="minor"/>
      </rPr>
      <t xml:space="preserve"> get a 5% discount </t>
    </r>
    <r>
      <rPr>
        <sz val="11"/>
        <color theme="1"/>
        <rFont val="Calibri"/>
        <family val="2"/>
        <scheme val="minor"/>
      </rPr>
      <t xml:space="preserve">on items </t>
    </r>
    <r>
      <rPr>
        <b/>
        <sz val="11"/>
        <color theme="1"/>
        <rFont val="Calibri"/>
        <family val="2"/>
        <scheme val="minor"/>
      </rPr>
      <t>if they sold more than 10 items or have a rating above 4.0.</t>
    </r>
  </si>
  <si>
    <r>
      <t xml:space="preserve">Use the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function to create a new column </t>
    </r>
    <r>
      <rPr>
        <sz val="10"/>
        <color theme="1"/>
        <rFont val="Arial Unicode MS"/>
      </rPr>
      <t>DiscountEligible</t>
    </r>
    <r>
      <rPr>
        <sz val="11"/>
        <color theme="1"/>
        <rFont val="Calibri"/>
        <family val="2"/>
        <scheme val="minor"/>
      </rPr>
      <t xml:space="preserve"> to indicate " </t>
    </r>
    <r>
      <rPr>
        <b/>
        <sz val="11"/>
        <color theme="1"/>
        <rFont val="Calibri"/>
        <family val="2"/>
        <scheme val="minor"/>
      </rPr>
      <t>5% discount  on sales</t>
    </r>
    <r>
      <rPr>
        <sz val="11"/>
        <color theme="1"/>
        <rFont val="Calibri"/>
        <family val="2"/>
        <scheme val="minor"/>
      </rPr>
      <t>" or "No".</t>
    </r>
  </si>
  <si>
    <t xml:space="preserve"> DiscountEligible</t>
  </si>
  <si>
    <t>if</t>
  </si>
  <si>
    <t>Data is Missing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</si>
</sst>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Arial Unicode MS"/>
    </font>
    <font>
      <sz val="11"/>
      <color theme="1"/>
      <name val="Arial Unicode MS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696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top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0" fillId="0" borderId="1" xfId="0" applyBorder="1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0" fillId="3" borderId="8" xfId="0" applyFill="1" applyBorder="1" applyAlignment="1">
      <alignment horizontal="left" vertical="top"/>
    </xf>
    <xf numFmtId="0" fontId="0" fillId="3" borderId="9" xfId="0" applyFill="1" applyBorder="1" applyAlignment="1">
      <alignment vertical="top"/>
    </xf>
    <xf numFmtId="0" fontId="0" fillId="3" borderId="10" xfId="0" applyFill="1" applyBorder="1" applyAlignment="1">
      <alignment vertical="top"/>
    </xf>
    <xf numFmtId="0" fontId="0" fillId="3" borderId="1" xfId="0" applyFill="1" applyBorder="1" applyAlignment="1">
      <alignment vertical="center" wrapText="1"/>
    </xf>
    <xf numFmtId="0" fontId="1" fillId="2" borderId="0" xfId="0" applyFont="1" applyFill="1"/>
    <xf numFmtId="0" fontId="0" fillId="5" borderId="1" xfId="0" applyFill="1" applyBorder="1"/>
    <xf numFmtId="0" fontId="4" fillId="6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8" fillId="0" borderId="13" xfId="0" applyFont="1" applyBorder="1"/>
    <xf numFmtId="0" fontId="0" fillId="7" borderId="0" xfId="0" applyFill="1"/>
    <xf numFmtId="0" fontId="0" fillId="6" borderId="1" xfId="0" applyFill="1" applyBorder="1" applyAlignment="1">
      <alignment horizontal="left" vertical="top"/>
    </xf>
    <xf numFmtId="0" fontId="0" fillId="6" borderId="0" xfId="0" applyFill="1"/>
    <xf numFmtId="0" fontId="0" fillId="6" borderId="1" xfId="0" applyFill="1" applyBorder="1"/>
    <xf numFmtId="0" fontId="0" fillId="6" borderId="1" xfId="0" applyFill="1" applyBorder="1" applyAlignment="1">
      <alignment vertical="center" wrapText="1"/>
    </xf>
    <xf numFmtId="0" fontId="0" fillId="8" borderId="1" xfId="0" applyFill="1" applyBorder="1" applyAlignment="1">
      <alignment vertical="center" wrapText="1"/>
    </xf>
    <xf numFmtId="0" fontId="0" fillId="8" borderId="0" xfId="0" applyFill="1"/>
    <xf numFmtId="0" fontId="0" fillId="9" borderId="1" xfId="0" applyFill="1" applyBorder="1"/>
    <xf numFmtId="0" fontId="0" fillId="7" borderId="1" xfId="0" applyFill="1" applyBorder="1"/>
    <xf numFmtId="0" fontId="1" fillId="9" borderId="14" xfId="0" applyFont="1" applyFill="1" applyBorder="1"/>
    <xf numFmtId="0" fontId="0" fillId="0" borderId="0" xfId="0" applyAlignment="1">
      <alignment horizontal="center" vertical="center"/>
    </xf>
    <xf numFmtId="0" fontId="0" fillId="8" borderId="1" xfId="0" applyFill="1" applyBorder="1"/>
    <xf numFmtId="0" fontId="0" fillId="0" borderId="1" xfId="0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vertical="center" wrapText="1"/>
    </xf>
    <xf numFmtId="0" fontId="0" fillId="8" borderId="0" xfId="0" applyFill="1" applyAlignment="1">
      <alignment horizontal="left" vertical="center" indent="1"/>
    </xf>
    <xf numFmtId="0" fontId="0" fillId="6" borderId="0" xfId="0" applyFill="1" applyAlignment="1">
      <alignment horizontal="left" vertical="center" indent="1"/>
    </xf>
    <xf numFmtId="0" fontId="8" fillId="10" borderId="13" xfId="0" applyFont="1" applyFill="1" applyBorder="1"/>
    <xf numFmtId="0" fontId="0" fillId="10" borderId="1" xfId="0" applyFill="1" applyBorder="1" applyAlignment="1">
      <alignment vertical="center" wrapText="1"/>
    </xf>
    <xf numFmtId="0" fontId="0" fillId="10" borderId="0" xfId="0" applyFill="1"/>
    <xf numFmtId="0" fontId="0" fillId="11" borderId="0" xfId="0" applyFill="1"/>
    <xf numFmtId="0" fontId="10" fillId="10" borderId="1" xfId="0" applyFont="1" applyFill="1" applyBorder="1" applyAlignment="1">
      <alignment vertical="center" wrapText="1"/>
    </xf>
    <xf numFmtId="0" fontId="0" fillId="12" borderId="1" xfId="0" applyFill="1" applyBorder="1" applyAlignment="1">
      <alignment vertical="center" wrapText="1"/>
    </xf>
    <xf numFmtId="0" fontId="0" fillId="13" borderId="0" xfId="0" applyFill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top" wrapText="1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1" fillId="14" borderId="0" xfId="0" applyFont="1" applyFill="1"/>
    <xf numFmtId="0" fontId="0" fillId="6" borderId="1" xfId="0" applyFill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top"/>
    </xf>
    <xf numFmtId="0" fontId="0" fillId="6" borderId="1" xfId="0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0" fillId="0" borderId="15" xfId="0" applyBorder="1"/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3" borderId="5" xfId="0" applyFill="1" applyBorder="1" applyAlignment="1">
      <alignment horizontal="left" vertical="top"/>
    </xf>
    <xf numFmtId="0" fontId="0" fillId="3" borderId="6" xfId="0" applyFill="1" applyBorder="1" applyAlignment="1">
      <alignment horizontal="left" vertical="top"/>
    </xf>
    <xf numFmtId="0" fontId="0" fillId="3" borderId="7" xfId="0" applyFill="1" applyBorder="1" applyAlignment="1">
      <alignment horizontal="left" vertical="top"/>
    </xf>
    <xf numFmtId="0" fontId="4" fillId="4" borderId="0" xfId="0" applyFont="1" applyFill="1" applyAlignment="1">
      <alignment horizontal="center" vertical="top" wrapText="1"/>
    </xf>
    <xf numFmtId="0" fontId="0" fillId="3" borderId="11" xfId="0" applyFill="1" applyBorder="1" applyAlignment="1">
      <alignment horizontal="left" vertical="top"/>
    </xf>
    <xf numFmtId="0" fontId="0" fillId="3" borderId="0" xfId="0" applyFill="1" applyAlignment="1">
      <alignment horizontal="left" vertical="top"/>
    </xf>
    <xf numFmtId="0" fontId="0" fillId="3" borderId="12" xfId="0" applyFill="1" applyBorder="1" applyAlignment="1">
      <alignment horizontal="left" vertical="top"/>
    </xf>
    <xf numFmtId="0" fontId="0" fillId="3" borderId="8" xfId="0" applyFill="1" applyBorder="1" applyAlignment="1">
      <alignment horizontal="left" vertical="top"/>
    </xf>
    <xf numFmtId="0" fontId="0" fillId="3" borderId="9" xfId="0" applyFill="1" applyBorder="1" applyAlignment="1">
      <alignment horizontal="left" vertical="top"/>
    </xf>
    <xf numFmtId="0" fontId="0" fillId="3" borderId="10" xfId="0" applyFill="1" applyBorder="1" applyAlignment="1">
      <alignment horizontal="left" vertical="top"/>
    </xf>
    <xf numFmtId="0" fontId="0" fillId="3" borderId="8" xfId="0" applyFill="1" applyBorder="1" applyAlignment="1">
      <alignment horizontal="left" vertical="center"/>
    </xf>
    <xf numFmtId="0" fontId="0" fillId="3" borderId="9" xfId="0" applyFill="1" applyBorder="1" applyAlignment="1">
      <alignment horizontal="left" vertical="center"/>
    </xf>
    <xf numFmtId="0" fontId="0" fillId="3" borderId="10" xfId="0" applyFill="1" applyBorder="1" applyAlignment="1">
      <alignment horizontal="left" vertical="center"/>
    </xf>
    <xf numFmtId="0" fontId="0" fillId="8" borderId="8" xfId="0" applyFill="1" applyBorder="1" applyAlignment="1">
      <alignment horizontal="left" vertical="top"/>
    </xf>
    <xf numFmtId="0" fontId="0" fillId="8" borderId="9" xfId="0" applyFill="1" applyBorder="1" applyAlignment="1">
      <alignment horizontal="left" vertical="top"/>
    </xf>
    <xf numFmtId="0" fontId="0" fillId="8" borderId="10" xfId="0" applyFill="1" applyBorder="1" applyAlignment="1">
      <alignment horizontal="left" vertical="top"/>
    </xf>
    <xf numFmtId="0" fontId="1" fillId="6" borderId="2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0" fillId="6" borderId="5" xfId="0" applyFill="1" applyBorder="1" applyAlignment="1">
      <alignment horizontal="left" vertical="top"/>
    </xf>
    <xf numFmtId="0" fontId="0" fillId="6" borderId="6" xfId="0" applyFill="1" applyBorder="1" applyAlignment="1">
      <alignment horizontal="left" vertical="top"/>
    </xf>
    <xf numFmtId="0" fontId="0" fillId="6" borderId="7" xfId="0" applyFill="1" applyBorder="1" applyAlignment="1">
      <alignment horizontal="left" vertical="top"/>
    </xf>
    <xf numFmtId="0" fontId="0" fillId="6" borderId="8" xfId="0" applyFill="1" applyBorder="1" applyAlignment="1">
      <alignment horizontal="left" vertical="top"/>
    </xf>
    <xf numFmtId="0" fontId="0" fillId="6" borderId="9" xfId="0" applyFill="1" applyBorder="1" applyAlignment="1">
      <alignment horizontal="left" vertical="top"/>
    </xf>
    <xf numFmtId="0" fontId="0" fillId="6" borderId="10" xfId="0" applyFill="1" applyBorder="1" applyAlignment="1">
      <alignment horizontal="left" vertical="top"/>
    </xf>
    <xf numFmtId="0" fontId="1" fillId="8" borderId="2" xfId="0" applyFont="1" applyFill="1" applyBorder="1" applyAlignment="1">
      <alignment horizontal="center"/>
    </xf>
    <xf numFmtId="0" fontId="1" fillId="8" borderId="3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0" fillId="8" borderId="5" xfId="0" applyFill="1" applyBorder="1" applyAlignment="1">
      <alignment horizontal="left" vertical="top"/>
    </xf>
    <xf numFmtId="0" fontId="0" fillId="8" borderId="6" xfId="0" applyFill="1" applyBorder="1" applyAlignment="1">
      <alignment horizontal="left" vertical="top"/>
    </xf>
    <xf numFmtId="0" fontId="0" fillId="8" borderId="7" xfId="0" applyFill="1" applyBorder="1" applyAlignment="1">
      <alignment horizontal="left" vertical="top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96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2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3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6DB09797-62FD-43E1-B21E-8FA64DA11F16}" type="doc">
      <dgm:prSet loTypeId="urn:microsoft.com/office/officeart/2005/8/layout/hierarchy1" loCatId="hierarchy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en-IN"/>
        </a:p>
      </dgm:t>
    </dgm:pt>
    <dgm:pt modelId="{7BF34BAF-C61A-4EE3-8D5A-2C540186F76F}">
      <dgm:prSet phldrT="[Text]"/>
      <dgm:spPr/>
      <dgm:t>
        <a:bodyPr/>
        <a:lstStyle/>
        <a:p>
          <a:r>
            <a:rPr lang="en-IN"/>
            <a:t>Employee Sales</a:t>
          </a:r>
        </a:p>
      </dgm:t>
    </dgm:pt>
    <dgm:pt modelId="{05E5CD5B-E19F-4753-AC8A-B3D7E8E46C67}" type="parTrans" cxnId="{A2953A46-5E72-459A-AA4F-702D7998125D}">
      <dgm:prSet/>
      <dgm:spPr/>
      <dgm:t>
        <a:bodyPr/>
        <a:lstStyle/>
        <a:p>
          <a:endParaRPr lang="en-IN"/>
        </a:p>
      </dgm:t>
    </dgm:pt>
    <dgm:pt modelId="{9A6F57A7-4D46-49EE-B55E-DB10F249A9F7}" type="sibTrans" cxnId="{A2953A46-5E72-459A-AA4F-702D7998125D}">
      <dgm:prSet/>
      <dgm:spPr/>
      <dgm:t>
        <a:bodyPr/>
        <a:lstStyle/>
        <a:p>
          <a:endParaRPr lang="en-IN"/>
        </a:p>
      </dgm:t>
    </dgm:pt>
    <dgm:pt modelId="{BF9E23F6-99ED-4FCD-9301-867E5779992E}">
      <dgm:prSet phldrT="[Text]"/>
      <dgm:spPr/>
      <dgm:t>
        <a:bodyPr/>
        <a:lstStyle/>
        <a:p>
          <a:r>
            <a:rPr lang="en-IN"/>
            <a:t>Sales&gt;=Target</a:t>
          </a:r>
        </a:p>
      </dgm:t>
    </dgm:pt>
    <dgm:pt modelId="{3CAFAD2E-3DAE-492C-A2A7-43EF32517D05}" type="parTrans" cxnId="{49D6B3DF-5819-4DC0-80C4-302A9803496F}">
      <dgm:prSet/>
      <dgm:spPr/>
      <dgm:t>
        <a:bodyPr/>
        <a:lstStyle/>
        <a:p>
          <a:endParaRPr lang="en-IN"/>
        </a:p>
      </dgm:t>
    </dgm:pt>
    <dgm:pt modelId="{90E49A02-871A-4450-AA05-31F4FB7535B9}" type="sibTrans" cxnId="{49D6B3DF-5819-4DC0-80C4-302A9803496F}">
      <dgm:prSet/>
      <dgm:spPr/>
      <dgm:t>
        <a:bodyPr/>
        <a:lstStyle/>
        <a:p>
          <a:endParaRPr lang="en-IN"/>
        </a:p>
      </dgm:t>
    </dgm:pt>
    <dgm:pt modelId="{95F75A6A-2ECE-447C-9D07-147D63C2293B}">
      <dgm:prSet phldrT="[Text]"/>
      <dgm:spPr/>
      <dgm:t>
        <a:bodyPr/>
        <a:lstStyle/>
        <a:p>
          <a:r>
            <a:rPr lang="en-IN"/>
            <a:t>Award Bonus</a:t>
          </a:r>
        </a:p>
      </dgm:t>
    </dgm:pt>
    <dgm:pt modelId="{F5F295B6-944E-48DB-A466-B96D0E1E136C}" type="parTrans" cxnId="{BB68834D-D319-4794-8459-C6B8D0B4AC6F}">
      <dgm:prSet/>
      <dgm:spPr/>
      <dgm:t>
        <a:bodyPr/>
        <a:lstStyle/>
        <a:p>
          <a:endParaRPr lang="en-IN"/>
        </a:p>
      </dgm:t>
    </dgm:pt>
    <dgm:pt modelId="{A3F2FB2A-EEAC-479E-B32B-D2D34AA5EBAF}" type="sibTrans" cxnId="{BB68834D-D319-4794-8459-C6B8D0B4AC6F}">
      <dgm:prSet/>
      <dgm:spPr/>
      <dgm:t>
        <a:bodyPr/>
        <a:lstStyle/>
        <a:p>
          <a:endParaRPr lang="en-IN"/>
        </a:p>
      </dgm:t>
    </dgm:pt>
    <dgm:pt modelId="{84BF31D4-A691-45EE-98A8-307D38828FBC}">
      <dgm:prSet phldrT="[Text]"/>
      <dgm:spPr/>
      <dgm:t>
        <a:bodyPr/>
        <a:lstStyle/>
        <a:p>
          <a:r>
            <a:rPr lang="en-IN"/>
            <a:t>Sales&lt;Target</a:t>
          </a:r>
        </a:p>
      </dgm:t>
    </dgm:pt>
    <dgm:pt modelId="{90281CDD-381B-4818-B98B-5916A2F1E3E6}" type="parTrans" cxnId="{DA295F14-8C44-44DE-B0EE-4E6119D92EE7}">
      <dgm:prSet/>
      <dgm:spPr/>
      <dgm:t>
        <a:bodyPr/>
        <a:lstStyle/>
        <a:p>
          <a:endParaRPr lang="en-IN"/>
        </a:p>
      </dgm:t>
    </dgm:pt>
    <dgm:pt modelId="{51D84CF5-E0D1-4878-9953-6FCF7701F01E}" type="sibTrans" cxnId="{DA295F14-8C44-44DE-B0EE-4E6119D92EE7}">
      <dgm:prSet/>
      <dgm:spPr/>
      <dgm:t>
        <a:bodyPr/>
        <a:lstStyle/>
        <a:p>
          <a:endParaRPr lang="en-IN"/>
        </a:p>
      </dgm:t>
    </dgm:pt>
    <dgm:pt modelId="{E02145C1-5C5D-4590-B928-8F510A60F95A}">
      <dgm:prSet phldrT="[Text]"/>
      <dgm:spPr/>
      <dgm:t>
        <a:bodyPr/>
        <a:lstStyle/>
        <a:p>
          <a:r>
            <a:rPr lang="en-IN"/>
            <a:t>No Bonus</a:t>
          </a:r>
        </a:p>
      </dgm:t>
    </dgm:pt>
    <dgm:pt modelId="{BF8583D8-2857-43F1-8E90-C4FDAB83624F}" type="parTrans" cxnId="{6BACD677-7207-4245-8394-AE92DCDF1CE5}">
      <dgm:prSet/>
      <dgm:spPr/>
      <dgm:t>
        <a:bodyPr/>
        <a:lstStyle/>
        <a:p>
          <a:endParaRPr lang="en-IN"/>
        </a:p>
      </dgm:t>
    </dgm:pt>
    <dgm:pt modelId="{6F3507C0-613C-462B-AD50-B287B7D29A57}" type="sibTrans" cxnId="{6BACD677-7207-4245-8394-AE92DCDF1CE5}">
      <dgm:prSet/>
      <dgm:spPr/>
      <dgm:t>
        <a:bodyPr/>
        <a:lstStyle/>
        <a:p>
          <a:endParaRPr lang="en-IN"/>
        </a:p>
      </dgm:t>
    </dgm:pt>
    <dgm:pt modelId="{1C3595FE-5E5C-42A5-AE0F-A0C3D3FC2C3B}" type="pres">
      <dgm:prSet presAssocID="{6DB09797-62FD-43E1-B21E-8FA64DA11F16}" presName="hierChild1" presStyleCnt="0">
        <dgm:presLayoutVars>
          <dgm:chPref val="1"/>
          <dgm:dir/>
          <dgm:animOne val="branch"/>
          <dgm:animLvl val="lvl"/>
          <dgm:resizeHandles/>
        </dgm:presLayoutVars>
      </dgm:prSet>
      <dgm:spPr/>
    </dgm:pt>
    <dgm:pt modelId="{75F6E823-23E6-48D2-82E4-AD5B42B52392}" type="pres">
      <dgm:prSet presAssocID="{7BF34BAF-C61A-4EE3-8D5A-2C540186F76F}" presName="hierRoot1" presStyleCnt="0"/>
      <dgm:spPr/>
    </dgm:pt>
    <dgm:pt modelId="{582C8694-5A34-434D-9A2F-6ED009B0325D}" type="pres">
      <dgm:prSet presAssocID="{7BF34BAF-C61A-4EE3-8D5A-2C540186F76F}" presName="composite" presStyleCnt="0"/>
      <dgm:spPr/>
    </dgm:pt>
    <dgm:pt modelId="{7F2C9FA5-E066-412A-96CD-3C6DBD9CF63B}" type="pres">
      <dgm:prSet presAssocID="{7BF34BAF-C61A-4EE3-8D5A-2C540186F76F}" presName="background" presStyleLbl="node0" presStyleIdx="0" presStyleCnt="1"/>
      <dgm:spPr/>
    </dgm:pt>
    <dgm:pt modelId="{E5ACEAA2-704C-4646-9DED-167C090A8A39}" type="pres">
      <dgm:prSet presAssocID="{7BF34BAF-C61A-4EE3-8D5A-2C540186F76F}" presName="text" presStyleLbl="fgAcc0" presStyleIdx="0" presStyleCnt="1">
        <dgm:presLayoutVars>
          <dgm:chPref val="3"/>
        </dgm:presLayoutVars>
      </dgm:prSet>
      <dgm:spPr/>
    </dgm:pt>
    <dgm:pt modelId="{DE6D4004-06AA-4639-AE91-F8724FF0C4A2}" type="pres">
      <dgm:prSet presAssocID="{7BF34BAF-C61A-4EE3-8D5A-2C540186F76F}" presName="hierChild2" presStyleCnt="0"/>
      <dgm:spPr/>
    </dgm:pt>
    <dgm:pt modelId="{F9672DA2-5ECC-491E-A963-065FC3C37DE2}" type="pres">
      <dgm:prSet presAssocID="{3CAFAD2E-3DAE-492C-A2A7-43EF32517D05}" presName="Name10" presStyleLbl="parChTrans1D2" presStyleIdx="0" presStyleCnt="2"/>
      <dgm:spPr/>
    </dgm:pt>
    <dgm:pt modelId="{0F54D227-67E7-41EC-AE3A-E586ABBF78B5}" type="pres">
      <dgm:prSet presAssocID="{BF9E23F6-99ED-4FCD-9301-867E5779992E}" presName="hierRoot2" presStyleCnt="0"/>
      <dgm:spPr/>
    </dgm:pt>
    <dgm:pt modelId="{EC89EA20-DAF0-45FC-8614-71DF58188B0C}" type="pres">
      <dgm:prSet presAssocID="{BF9E23F6-99ED-4FCD-9301-867E5779992E}" presName="composite2" presStyleCnt="0"/>
      <dgm:spPr/>
    </dgm:pt>
    <dgm:pt modelId="{D22C26B6-17F0-43F8-991D-AFA1CC7AD8C7}" type="pres">
      <dgm:prSet presAssocID="{BF9E23F6-99ED-4FCD-9301-867E5779992E}" presName="background2" presStyleLbl="node2" presStyleIdx="0" presStyleCnt="2"/>
      <dgm:spPr/>
    </dgm:pt>
    <dgm:pt modelId="{86C720E6-79E5-4599-BA60-03CEFF3BAEE9}" type="pres">
      <dgm:prSet presAssocID="{BF9E23F6-99ED-4FCD-9301-867E5779992E}" presName="text2" presStyleLbl="fgAcc2" presStyleIdx="0" presStyleCnt="2">
        <dgm:presLayoutVars>
          <dgm:chPref val="3"/>
        </dgm:presLayoutVars>
      </dgm:prSet>
      <dgm:spPr/>
    </dgm:pt>
    <dgm:pt modelId="{BF8B0E08-C51F-4920-889C-150ABCD64C93}" type="pres">
      <dgm:prSet presAssocID="{BF9E23F6-99ED-4FCD-9301-867E5779992E}" presName="hierChild3" presStyleCnt="0"/>
      <dgm:spPr/>
    </dgm:pt>
    <dgm:pt modelId="{0D3D7632-B0A4-4E28-BEDD-28166E8DC5F9}" type="pres">
      <dgm:prSet presAssocID="{F5F295B6-944E-48DB-A466-B96D0E1E136C}" presName="Name17" presStyleLbl="parChTrans1D3" presStyleIdx="0" presStyleCnt="2"/>
      <dgm:spPr/>
    </dgm:pt>
    <dgm:pt modelId="{CDC7A763-1399-4EDF-8B79-2AAF0FA77FBC}" type="pres">
      <dgm:prSet presAssocID="{95F75A6A-2ECE-447C-9D07-147D63C2293B}" presName="hierRoot3" presStyleCnt="0"/>
      <dgm:spPr/>
    </dgm:pt>
    <dgm:pt modelId="{79039762-94E0-4247-8103-B234DF2A8042}" type="pres">
      <dgm:prSet presAssocID="{95F75A6A-2ECE-447C-9D07-147D63C2293B}" presName="composite3" presStyleCnt="0"/>
      <dgm:spPr/>
    </dgm:pt>
    <dgm:pt modelId="{85602465-6E29-4C65-953C-49DD606443DB}" type="pres">
      <dgm:prSet presAssocID="{95F75A6A-2ECE-447C-9D07-147D63C2293B}" presName="background3" presStyleLbl="node3" presStyleIdx="0" presStyleCnt="2"/>
      <dgm:spPr/>
    </dgm:pt>
    <dgm:pt modelId="{D1FC8923-F1B0-435F-9142-B4BB047CE66E}" type="pres">
      <dgm:prSet presAssocID="{95F75A6A-2ECE-447C-9D07-147D63C2293B}" presName="text3" presStyleLbl="fgAcc3" presStyleIdx="0" presStyleCnt="2">
        <dgm:presLayoutVars>
          <dgm:chPref val="3"/>
        </dgm:presLayoutVars>
      </dgm:prSet>
      <dgm:spPr/>
    </dgm:pt>
    <dgm:pt modelId="{2F4077A4-B097-4B9E-9FD8-D4A3F891BD20}" type="pres">
      <dgm:prSet presAssocID="{95F75A6A-2ECE-447C-9D07-147D63C2293B}" presName="hierChild4" presStyleCnt="0"/>
      <dgm:spPr/>
    </dgm:pt>
    <dgm:pt modelId="{EC0C1861-60A6-4174-BE2A-1B89C00B6079}" type="pres">
      <dgm:prSet presAssocID="{90281CDD-381B-4818-B98B-5916A2F1E3E6}" presName="Name10" presStyleLbl="parChTrans1D2" presStyleIdx="1" presStyleCnt="2"/>
      <dgm:spPr/>
    </dgm:pt>
    <dgm:pt modelId="{6A516FF5-DAB4-4C9A-974A-5D537716CA9F}" type="pres">
      <dgm:prSet presAssocID="{84BF31D4-A691-45EE-98A8-307D38828FBC}" presName="hierRoot2" presStyleCnt="0"/>
      <dgm:spPr/>
    </dgm:pt>
    <dgm:pt modelId="{B8CC05E3-BD91-4D2A-8913-9FB51471F478}" type="pres">
      <dgm:prSet presAssocID="{84BF31D4-A691-45EE-98A8-307D38828FBC}" presName="composite2" presStyleCnt="0"/>
      <dgm:spPr/>
    </dgm:pt>
    <dgm:pt modelId="{EF01353B-9C21-4EE0-B3C3-9F8758E8B118}" type="pres">
      <dgm:prSet presAssocID="{84BF31D4-A691-45EE-98A8-307D38828FBC}" presName="background2" presStyleLbl="node2" presStyleIdx="1" presStyleCnt="2"/>
      <dgm:spPr/>
    </dgm:pt>
    <dgm:pt modelId="{FBDADB70-9358-45E0-B5A4-6CF3DCF1A512}" type="pres">
      <dgm:prSet presAssocID="{84BF31D4-A691-45EE-98A8-307D38828FBC}" presName="text2" presStyleLbl="fgAcc2" presStyleIdx="1" presStyleCnt="2">
        <dgm:presLayoutVars>
          <dgm:chPref val="3"/>
        </dgm:presLayoutVars>
      </dgm:prSet>
      <dgm:spPr/>
    </dgm:pt>
    <dgm:pt modelId="{34D8A679-DA41-44FB-9471-96F1D559D83D}" type="pres">
      <dgm:prSet presAssocID="{84BF31D4-A691-45EE-98A8-307D38828FBC}" presName="hierChild3" presStyleCnt="0"/>
      <dgm:spPr/>
    </dgm:pt>
    <dgm:pt modelId="{135F91DC-CF4E-40EA-AE83-5AC5728ECD89}" type="pres">
      <dgm:prSet presAssocID="{BF8583D8-2857-43F1-8E90-C4FDAB83624F}" presName="Name17" presStyleLbl="parChTrans1D3" presStyleIdx="1" presStyleCnt="2"/>
      <dgm:spPr/>
    </dgm:pt>
    <dgm:pt modelId="{9DE2CEB7-B52A-4E10-9C7B-00AAFDD7D43B}" type="pres">
      <dgm:prSet presAssocID="{E02145C1-5C5D-4590-B928-8F510A60F95A}" presName="hierRoot3" presStyleCnt="0"/>
      <dgm:spPr/>
    </dgm:pt>
    <dgm:pt modelId="{2984D47F-81F6-44D4-A499-3ABFB6C91A19}" type="pres">
      <dgm:prSet presAssocID="{E02145C1-5C5D-4590-B928-8F510A60F95A}" presName="composite3" presStyleCnt="0"/>
      <dgm:spPr/>
    </dgm:pt>
    <dgm:pt modelId="{1F103C9A-9934-4FE4-84B1-8091504BA3B5}" type="pres">
      <dgm:prSet presAssocID="{E02145C1-5C5D-4590-B928-8F510A60F95A}" presName="background3" presStyleLbl="node3" presStyleIdx="1" presStyleCnt="2"/>
      <dgm:spPr/>
    </dgm:pt>
    <dgm:pt modelId="{7939463D-F202-4729-ADD4-7B1602014BA5}" type="pres">
      <dgm:prSet presAssocID="{E02145C1-5C5D-4590-B928-8F510A60F95A}" presName="text3" presStyleLbl="fgAcc3" presStyleIdx="1" presStyleCnt="2">
        <dgm:presLayoutVars>
          <dgm:chPref val="3"/>
        </dgm:presLayoutVars>
      </dgm:prSet>
      <dgm:spPr/>
    </dgm:pt>
    <dgm:pt modelId="{7E00AB64-5E64-425D-8577-19D077AD8E19}" type="pres">
      <dgm:prSet presAssocID="{E02145C1-5C5D-4590-B928-8F510A60F95A}" presName="hierChild4" presStyleCnt="0"/>
      <dgm:spPr/>
    </dgm:pt>
  </dgm:ptLst>
  <dgm:cxnLst>
    <dgm:cxn modelId="{29D8BE09-68AB-48C0-A9D8-7D9BCEC496F0}" type="presOf" srcId="{3CAFAD2E-3DAE-492C-A2A7-43EF32517D05}" destId="{F9672DA2-5ECC-491E-A963-065FC3C37DE2}" srcOrd="0" destOrd="0" presId="urn:microsoft.com/office/officeart/2005/8/layout/hierarchy1"/>
    <dgm:cxn modelId="{CF30980D-B40A-4D94-80B4-5FDD824581CF}" type="presOf" srcId="{BF9E23F6-99ED-4FCD-9301-867E5779992E}" destId="{86C720E6-79E5-4599-BA60-03CEFF3BAEE9}" srcOrd="0" destOrd="0" presId="urn:microsoft.com/office/officeart/2005/8/layout/hierarchy1"/>
    <dgm:cxn modelId="{DA295F14-8C44-44DE-B0EE-4E6119D92EE7}" srcId="{7BF34BAF-C61A-4EE3-8D5A-2C540186F76F}" destId="{84BF31D4-A691-45EE-98A8-307D38828FBC}" srcOrd="1" destOrd="0" parTransId="{90281CDD-381B-4818-B98B-5916A2F1E3E6}" sibTransId="{51D84CF5-E0D1-4878-9953-6FCF7701F01E}"/>
    <dgm:cxn modelId="{37BFD830-B834-4354-97E5-3E3CA8D4665A}" type="presOf" srcId="{84BF31D4-A691-45EE-98A8-307D38828FBC}" destId="{FBDADB70-9358-45E0-B5A4-6CF3DCF1A512}" srcOrd="0" destOrd="0" presId="urn:microsoft.com/office/officeart/2005/8/layout/hierarchy1"/>
    <dgm:cxn modelId="{3FCD4131-E4AB-4B1E-9C57-C28E4A44C28E}" type="presOf" srcId="{6DB09797-62FD-43E1-B21E-8FA64DA11F16}" destId="{1C3595FE-5E5C-42A5-AE0F-A0C3D3FC2C3B}" srcOrd="0" destOrd="0" presId="urn:microsoft.com/office/officeart/2005/8/layout/hierarchy1"/>
    <dgm:cxn modelId="{2ADD255D-8537-4AB2-A734-62E082641AAF}" type="presOf" srcId="{BF8583D8-2857-43F1-8E90-C4FDAB83624F}" destId="{135F91DC-CF4E-40EA-AE83-5AC5728ECD89}" srcOrd="0" destOrd="0" presId="urn:microsoft.com/office/officeart/2005/8/layout/hierarchy1"/>
    <dgm:cxn modelId="{A2953A46-5E72-459A-AA4F-702D7998125D}" srcId="{6DB09797-62FD-43E1-B21E-8FA64DA11F16}" destId="{7BF34BAF-C61A-4EE3-8D5A-2C540186F76F}" srcOrd="0" destOrd="0" parTransId="{05E5CD5B-E19F-4753-AC8A-B3D7E8E46C67}" sibTransId="{9A6F57A7-4D46-49EE-B55E-DB10F249A9F7}"/>
    <dgm:cxn modelId="{BB68834D-D319-4794-8459-C6B8D0B4AC6F}" srcId="{BF9E23F6-99ED-4FCD-9301-867E5779992E}" destId="{95F75A6A-2ECE-447C-9D07-147D63C2293B}" srcOrd="0" destOrd="0" parTransId="{F5F295B6-944E-48DB-A466-B96D0E1E136C}" sibTransId="{A3F2FB2A-EEAC-479E-B32B-D2D34AA5EBAF}"/>
    <dgm:cxn modelId="{6BACD677-7207-4245-8394-AE92DCDF1CE5}" srcId="{84BF31D4-A691-45EE-98A8-307D38828FBC}" destId="{E02145C1-5C5D-4590-B928-8F510A60F95A}" srcOrd="0" destOrd="0" parTransId="{BF8583D8-2857-43F1-8E90-C4FDAB83624F}" sibTransId="{6F3507C0-613C-462B-AD50-B287B7D29A57}"/>
    <dgm:cxn modelId="{20C39979-BA06-4259-BB38-D45D119AE9C4}" type="presOf" srcId="{90281CDD-381B-4818-B98B-5916A2F1E3E6}" destId="{EC0C1861-60A6-4174-BE2A-1B89C00B6079}" srcOrd="0" destOrd="0" presId="urn:microsoft.com/office/officeart/2005/8/layout/hierarchy1"/>
    <dgm:cxn modelId="{69A6DC88-703B-4217-BCF9-76C89E471D2E}" type="presOf" srcId="{E02145C1-5C5D-4590-B928-8F510A60F95A}" destId="{7939463D-F202-4729-ADD4-7B1602014BA5}" srcOrd="0" destOrd="0" presId="urn:microsoft.com/office/officeart/2005/8/layout/hierarchy1"/>
    <dgm:cxn modelId="{5A8657A0-E48F-4588-B09A-CA4FE9ECC362}" type="presOf" srcId="{7BF34BAF-C61A-4EE3-8D5A-2C540186F76F}" destId="{E5ACEAA2-704C-4646-9DED-167C090A8A39}" srcOrd="0" destOrd="0" presId="urn:microsoft.com/office/officeart/2005/8/layout/hierarchy1"/>
    <dgm:cxn modelId="{86C938B5-69CA-435A-8105-B1BDC5B046A6}" type="presOf" srcId="{F5F295B6-944E-48DB-A466-B96D0E1E136C}" destId="{0D3D7632-B0A4-4E28-BEDD-28166E8DC5F9}" srcOrd="0" destOrd="0" presId="urn:microsoft.com/office/officeart/2005/8/layout/hierarchy1"/>
    <dgm:cxn modelId="{4ECF5FD3-2B26-40FE-B56F-6A24232B6357}" type="presOf" srcId="{95F75A6A-2ECE-447C-9D07-147D63C2293B}" destId="{D1FC8923-F1B0-435F-9142-B4BB047CE66E}" srcOrd="0" destOrd="0" presId="urn:microsoft.com/office/officeart/2005/8/layout/hierarchy1"/>
    <dgm:cxn modelId="{49D6B3DF-5819-4DC0-80C4-302A9803496F}" srcId="{7BF34BAF-C61A-4EE3-8D5A-2C540186F76F}" destId="{BF9E23F6-99ED-4FCD-9301-867E5779992E}" srcOrd="0" destOrd="0" parTransId="{3CAFAD2E-3DAE-492C-A2A7-43EF32517D05}" sibTransId="{90E49A02-871A-4450-AA05-31F4FB7535B9}"/>
    <dgm:cxn modelId="{34993E64-859C-4539-AB14-C8CCF533C1F9}" type="presParOf" srcId="{1C3595FE-5E5C-42A5-AE0F-A0C3D3FC2C3B}" destId="{75F6E823-23E6-48D2-82E4-AD5B42B52392}" srcOrd="0" destOrd="0" presId="urn:microsoft.com/office/officeart/2005/8/layout/hierarchy1"/>
    <dgm:cxn modelId="{C4D2CB4C-F7A4-48C3-9794-03774AA839E7}" type="presParOf" srcId="{75F6E823-23E6-48D2-82E4-AD5B42B52392}" destId="{582C8694-5A34-434D-9A2F-6ED009B0325D}" srcOrd="0" destOrd="0" presId="urn:microsoft.com/office/officeart/2005/8/layout/hierarchy1"/>
    <dgm:cxn modelId="{BE3CAD46-9066-46A1-80C0-F0679AF958C2}" type="presParOf" srcId="{582C8694-5A34-434D-9A2F-6ED009B0325D}" destId="{7F2C9FA5-E066-412A-96CD-3C6DBD9CF63B}" srcOrd="0" destOrd="0" presId="urn:microsoft.com/office/officeart/2005/8/layout/hierarchy1"/>
    <dgm:cxn modelId="{EA983DED-D1DA-4ED7-BECD-6AB58D2AB77F}" type="presParOf" srcId="{582C8694-5A34-434D-9A2F-6ED009B0325D}" destId="{E5ACEAA2-704C-4646-9DED-167C090A8A39}" srcOrd="1" destOrd="0" presId="urn:microsoft.com/office/officeart/2005/8/layout/hierarchy1"/>
    <dgm:cxn modelId="{82949E1F-50D7-4A0D-A309-26D1015A90B3}" type="presParOf" srcId="{75F6E823-23E6-48D2-82E4-AD5B42B52392}" destId="{DE6D4004-06AA-4639-AE91-F8724FF0C4A2}" srcOrd="1" destOrd="0" presId="urn:microsoft.com/office/officeart/2005/8/layout/hierarchy1"/>
    <dgm:cxn modelId="{18904871-B991-4614-B3FD-334286A64141}" type="presParOf" srcId="{DE6D4004-06AA-4639-AE91-F8724FF0C4A2}" destId="{F9672DA2-5ECC-491E-A963-065FC3C37DE2}" srcOrd="0" destOrd="0" presId="urn:microsoft.com/office/officeart/2005/8/layout/hierarchy1"/>
    <dgm:cxn modelId="{74E4A18C-3BDD-4ABD-A678-E8AAB5DD578B}" type="presParOf" srcId="{DE6D4004-06AA-4639-AE91-F8724FF0C4A2}" destId="{0F54D227-67E7-41EC-AE3A-E586ABBF78B5}" srcOrd="1" destOrd="0" presId="urn:microsoft.com/office/officeart/2005/8/layout/hierarchy1"/>
    <dgm:cxn modelId="{821A5FD9-87A7-4ED0-8247-B794D05AFA52}" type="presParOf" srcId="{0F54D227-67E7-41EC-AE3A-E586ABBF78B5}" destId="{EC89EA20-DAF0-45FC-8614-71DF58188B0C}" srcOrd="0" destOrd="0" presId="urn:microsoft.com/office/officeart/2005/8/layout/hierarchy1"/>
    <dgm:cxn modelId="{E5703BBC-4832-4FE9-AC42-2A4E4EF98ED6}" type="presParOf" srcId="{EC89EA20-DAF0-45FC-8614-71DF58188B0C}" destId="{D22C26B6-17F0-43F8-991D-AFA1CC7AD8C7}" srcOrd="0" destOrd="0" presId="urn:microsoft.com/office/officeart/2005/8/layout/hierarchy1"/>
    <dgm:cxn modelId="{7284F2D6-2C99-4496-889E-1D4F03E77CFF}" type="presParOf" srcId="{EC89EA20-DAF0-45FC-8614-71DF58188B0C}" destId="{86C720E6-79E5-4599-BA60-03CEFF3BAEE9}" srcOrd="1" destOrd="0" presId="urn:microsoft.com/office/officeart/2005/8/layout/hierarchy1"/>
    <dgm:cxn modelId="{7D2CDFFF-AE04-47D1-BD88-BBAC739DE9FD}" type="presParOf" srcId="{0F54D227-67E7-41EC-AE3A-E586ABBF78B5}" destId="{BF8B0E08-C51F-4920-889C-150ABCD64C93}" srcOrd="1" destOrd="0" presId="urn:microsoft.com/office/officeart/2005/8/layout/hierarchy1"/>
    <dgm:cxn modelId="{27560326-F35D-4795-A8B8-74BFDAE8EE7D}" type="presParOf" srcId="{BF8B0E08-C51F-4920-889C-150ABCD64C93}" destId="{0D3D7632-B0A4-4E28-BEDD-28166E8DC5F9}" srcOrd="0" destOrd="0" presId="urn:microsoft.com/office/officeart/2005/8/layout/hierarchy1"/>
    <dgm:cxn modelId="{A82BB0A2-E905-493A-A920-74AB7E226371}" type="presParOf" srcId="{BF8B0E08-C51F-4920-889C-150ABCD64C93}" destId="{CDC7A763-1399-4EDF-8B79-2AAF0FA77FBC}" srcOrd="1" destOrd="0" presId="urn:microsoft.com/office/officeart/2005/8/layout/hierarchy1"/>
    <dgm:cxn modelId="{40B468A0-97D5-44AB-8EF9-CE7FBD4B98A4}" type="presParOf" srcId="{CDC7A763-1399-4EDF-8B79-2AAF0FA77FBC}" destId="{79039762-94E0-4247-8103-B234DF2A8042}" srcOrd="0" destOrd="0" presId="urn:microsoft.com/office/officeart/2005/8/layout/hierarchy1"/>
    <dgm:cxn modelId="{8D01A253-8B6A-492B-A79A-F30A0886C5C2}" type="presParOf" srcId="{79039762-94E0-4247-8103-B234DF2A8042}" destId="{85602465-6E29-4C65-953C-49DD606443DB}" srcOrd="0" destOrd="0" presId="urn:microsoft.com/office/officeart/2005/8/layout/hierarchy1"/>
    <dgm:cxn modelId="{B781A376-2C7C-4453-9BBF-642F49ABC4C4}" type="presParOf" srcId="{79039762-94E0-4247-8103-B234DF2A8042}" destId="{D1FC8923-F1B0-435F-9142-B4BB047CE66E}" srcOrd="1" destOrd="0" presId="urn:microsoft.com/office/officeart/2005/8/layout/hierarchy1"/>
    <dgm:cxn modelId="{B1DEAEFD-CB94-4A7E-99A7-F71EDDF44672}" type="presParOf" srcId="{CDC7A763-1399-4EDF-8B79-2AAF0FA77FBC}" destId="{2F4077A4-B097-4B9E-9FD8-D4A3F891BD20}" srcOrd="1" destOrd="0" presId="urn:microsoft.com/office/officeart/2005/8/layout/hierarchy1"/>
    <dgm:cxn modelId="{5D43F1BB-32E8-43A2-9EF9-E9387F471A91}" type="presParOf" srcId="{DE6D4004-06AA-4639-AE91-F8724FF0C4A2}" destId="{EC0C1861-60A6-4174-BE2A-1B89C00B6079}" srcOrd="2" destOrd="0" presId="urn:microsoft.com/office/officeart/2005/8/layout/hierarchy1"/>
    <dgm:cxn modelId="{E51C303B-EEB4-40EF-87E5-6CEFA37F4683}" type="presParOf" srcId="{DE6D4004-06AA-4639-AE91-F8724FF0C4A2}" destId="{6A516FF5-DAB4-4C9A-974A-5D537716CA9F}" srcOrd="3" destOrd="0" presId="urn:microsoft.com/office/officeart/2005/8/layout/hierarchy1"/>
    <dgm:cxn modelId="{34AC4EF3-B072-483C-B77F-A99205FEF49D}" type="presParOf" srcId="{6A516FF5-DAB4-4C9A-974A-5D537716CA9F}" destId="{B8CC05E3-BD91-4D2A-8913-9FB51471F478}" srcOrd="0" destOrd="0" presId="urn:microsoft.com/office/officeart/2005/8/layout/hierarchy1"/>
    <dgm:cxn modelId="{B94F8CD1-4A9F-40AE-A1D4-52D88CA9BCD4}" type="presParOf" srcId="{B8CC05E3-BD91-4D2A-8913-9FB51471F478}" destId="{EF01353B-9C21-4EE0-B3C3-9F8758E8B118}" srcOrd="0" destOrd="0" presId="urn:microsoft.com/office/officeart/2005/8/layout/hierarchy1"/>
    <dgm:cxn modelId="{40460DA3-705E-49EF-8AC7-FDD4B6AB69A1}" type="presParOf" srcId="{B8CC05E3-BD91-4D2A-8913-9FB51471F478}" destId="{FBDADB70-9358-45E0-B5A4-6CF3DCF1A512}" srcOrd="1" destOrd="0" presId="urn:microsoft.com/office/officeart/2005/8/layout/hierarchy1"/>
    <dgm:cxn modelId="{90D9AA41-5A3A-448F-87EB-A1E90AAF6953}" type="presParOf" srcId="{6A516FF5-DAB4-4C9A-974A-5D537716CA9F}" destId="{34D8A679-DA41-44FB-9471-96F1D559D83D}" srcOrd="1" destOrd="0" presId="urn:microsoft.com/office/officeart/2005/8/layout/hierarchy1"/>
    <dgm:cxn modelId="{4BB942F5-C59B-4B60-ABC8-10B158A536F7}" type="presParOf" srcId="{34D8A679-DA41-44FB-9471-96F1D559D83D}" destId="{135F91DC-CF4E-40EA-AE83-5AC5728ECD89}" srcOrd="0" destOrd="0" presId="urn:microsoft.com/office/officeart/2005/8/layout/hierarchy1"/>
    <dgm:cxn modelId="{6D27DC10-4804-48BC-A513-54809F909E06}" type="presParOf" srcId="{34D8A679-DA41-44FB-9471-96F1D559D83D}" destId="{9DE2CEB7-B52A-4E10-9C7B-00AAFDD7D43B}" srcOrd="1" destOrd="0" presId="urn:microsoft.com/office/officeart/2005/8/layout/hierarchy1"/>
    <dgm:cxn modelId="{3E3DB57F-E6E6-450C-8179-3E45A724D475}" type="presParOf" srcId="{9DE2CEB7-B52A-4E10-9C7B-00AAFDD7D43B}" destId="{2984D47F-81F6-44D4-A499-3ABFB6C91A19}" srcOrd="0" destOrd="0" presId="urn:microsoft.com/office/officeart/2005/8/layout/hierarchy1"/>
    <dgm:cxn modelId="{C7096E2B-F2B0-4D37-9EAD-D9E09D4586D8}" type="presParOf" srcId="{2984D47F-81F6-44D4-A499-3ABFB6C91A19}" destId="{1F103C9A-9934-4FE4-84B1-8091504BA3B5}" srcOrd="0" destOrd="0" presId="urn:microsoft.com/office/officeart/2005/8/layout/hierarchy1"/>
    <dgm:cxn modelId="{FBBE4DF6-F2D6-4CD1-B4BC-3740EE231CF6}" type="presParOf" srcId="{2984D47F-81F6-44D4-A499-3ABFB6C91A19}" destId="{7939463D-F202-4729-ADD4-7B1602014BA5}" srcOrd="1" destOrd="0" presId="urn:microsoft.com/office/officeart/2005/8/layout/hierarchy1"/>
    <dgm:cxn modelId="{55B9A7C4-4BEB-4AAC-9049-206EB93F41B9}" type="presParOf" srcId="{9DE2CEB7-B52A-4E10-9C7B-00AAFDD7D43B}" destId="{7E00AB64-5E64-425D-8577-19D077AD8E19}" srcOrd="1" destOrd="0" presId="urn:microsoft.com/office/officeart/2005/8/layout/hierarchy1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ata2.xml><?xml version="1.0" encoding="utf-8"?>
<dgm:dataModel xmlns:dgm="http://schemas.openxmlformats.org/drawingml/2006/diagram" xmlns:a="http://schemas.openxmlformats.org/drawingml/2006/main">
  <dgm:ptLst>
    <dgm:pt modelId="{3B53B966-0A36-453D-B686-5DA29CE49D80}" type="doc">
      <dgm:prSet loTypeId="urn:microsoft.com/office/officeart/2005/8/layout/hierarchy1" loCatId="hierarchy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en-IN"/>
        </a:p>
      </dgm:t>
    </dgm:pt>
    <dgm:pt modelId="{962DFE4C-EA77-439C-8BD5-AE1DBE89EAEE}">
      <dgm:prSet phldrT="[Text]"/>
      <dgm:spPr/>
      <dgm:t>
        <a:bodyPr/>
        <a:lstStyle/>
        <a:p>
          <a:r>
            <a:rPr lang="en-IN"/>
            <a:t>Applicant</a:t>
          </a:r>
        </a:p>
      </dgm:t>
    </dgm:pt>
    <dgm:pt modelId="{C7811DE3-35AA-4F4C-8086-7D1177004ADC}" type="parTrans" cxnId="{3C9E014F-E7F6-4687-91B1-D0740C633DBA}">
      <dgm:prSet/>
      <dgm:spPr/>
      <dgm:t>
        <a:bodyPr/>
        <a:lstStyle/>
        <a:p>
          <a:endParaRPr lang="en-IN"/>
        </a:p>
      </dgm:t>
    </dgm:pt>
    <dgm:pt modelId="{71D4D16E-988E-4174-B0D8-8FB96492047D}" type="sibTrans" cxnId="{3C9E014F-E7F6-4687-91B1-D0740C633DBA}">
      <dgm:prSet/>
      <dgm:spPr/>
      <dgm:t>
        <a:bodyPr/>
        <a:lstStyle/>
        <a:p>
          <a:endParaRPr lang="en-IN"/>
        </a:p>
      </dgm:t>
    </dgm:pt>
    <dgm:pt modelId="{6702EB23-CFFA-418E-AB2B-C65F36CE091D}">
      <dgm:prSet phldrT="[Text]"/>
      <dgm:spPr/>
      <dgm:t>
        <a:bodyPr/>
        <a:lstStyle/>
        <a:p>
          <a:r>
            <a:rPr lang="en-IN"/>
            <a:t>Skills </a:t>
          </a:r>
          <a:r>
            <a:rPr lang="en-IN" b="1"/>
            <a:t>And </a:t>
          </a:r>
          <a:r>
            <a:rPr lang="en-IN"/>
            <a:t>Experience</a:t>
          </a:r>
        </a:p>
      </dgm:t>
    </dgm:pt>
    <dgm:pt modelId="{6DF465A8-E48B-4CCE-84CC-63F2C3945597}" type="parTrans" cxnId="{5DE3037B-A631-4C2B-A258-31CA575ECEF1}">
      <dgm:prSet/>
      <dgm:spPr/>
      <dgm:t>
        <a:bodyPr/>
        <a:lstStyle/>
        <a:p>
          <a:endParaRPr lang="en-IN"/>
        </a:p>
      </dgm:t>
    </dgm:pt>
    <dgm:pt modelId="{8BB2B9AB-1DA2-46C0-BCD5-E025CE9EFECE}" type="sibTrans" cxnId="{5DE3037B-A631-4C2B-A258-31CA575ECEF1}">
      <dgm:prSet/>
      <dgm:spPr/>
      <dgm:t>
        <a:bodyPr/>
        <a:lstStyle/>
        <a:p>
          <a:endParaRPr lang="en-IN"/>
        </a:p>
      </dgm:t>
    </dgm:pt>
    <dgm:pt modelId="{077DA3DB-6ED2-4462-8785-C62EFF8FF5B8}">
      <dgm:prSet phldrT="[Text]"/>
      <dgm:spPr/>
      <dgm:t>
        <a:bodyPr/>
        <a:lstStyle/>
        <a:p>
          <a:r>
            <a:rPr lang="en-IN"/>
            <a:t>Yes</a:t>
          </a:r>
        </a:p>
      </dgm:t>
    </dgm:pt>
    <dgm:pt modelId="{EBE5A4E6-7D04-4FE1-8342-314E13E9291A}" type="parTrans" cxnId="{9CC31786-41A3-4E81-B072-F82290A6ADCB}">
      <dgm:prSet/>
      <dgm:spPr/>
      <dgm:t>
        <a:bodyPr/>
        <a:lstStyle/>
        <a:p>
          <a:endParaRPr lang="en-IN"/>
        </a:p>
      </dgm:t>
    </dgm:pt>
    <dgm:pt modelId="{86ABD072-4B87-4CC1-9D1A-BF6316E92DB2}" type="sibTrans" cxnId="{9CC31786-41A3-4E81-B072-F82290A6ADCB}">
      <dgm:prSet/>
      <dgm:spPr/>
      <dgm:t>
        <a:bodyPr/>
        <a:lstStyle/>
        <a:p>
          <a:endParaRPr lang="en-IN"/>
        </a:p>
      </dgm:t>
    </dgm:pt>
    <dgm:pt modelId="{85C4182F-48BE-4D41-A7CF-7603BF7D6F87}">
      <dgm:prSet phldrT="[Text]"/>
      <dgm:spPr/>
      <dgm:t>
        <a:bodyPr/>
        <a:lstStyle/>
        <a:p>
          <a:r>
            <a:rPr lang="en-IN"/>
            <a:t>Skills </a:t>
          </a:r>
          <a:r>
            <a:rPr lang="en-IN" b="1"/>
            <a:t>And</a:t>
          </a:r>
          <a:r>
            <a:rPr lang="en-IN"/>
            <a:t> Experience</a:t>
          </a:r>
        </a:p>
      </dgm:t>
    </dgm:pt>
    <dgm:pt modelId="{0BC58012-15A1-49E0-999B-7DCF4E6AEA2A}" type="parTrans" cxnId="{BE9A182D-9D58-4EB0-A5BD-FB03EB2D220B}">
      <dgm:prSet/>
      <dgm:spPr/>
      <dgm:t>
        <a:bodyPr/>
        <a:lstStyle/>
        <a:p>
          <a:endParaRPr lang="en-IN"/>
        </a:p>
      </dgm:t>
    </dgm:pt>
    <dgm:pt modelId="{4BEE745D-E4D7-4C48-B705-95F06701A489}" type="sibTrans" cxnId="{BE9A182D-9D58-4EB0-A5BD-FB03EB2D220B}">
      <dgm:prSet/>
      <dgm:spPr/>
      <dgm:t>
        <a:bodyPr/>
        <a:lstStyle/>
        <a:p>
          <a:endParaRPr lang="en-IN"/>
        </a:p>
      </dgm:t>
    </dgm:pt>
    <dgm:pt modelId="{AABF0563-9EEE-4FA6-854B-6947C4112791}">
      <dgm:prSet phldrT="[Text]"/>
      <dgm:spPr/>
      <dgm:t>
        <a:bodyPr/>
        <a:lstStyle/>
        <a:p>
          <a:r>
            <a:rPr lang="en-IN"/>
            <a:t>No</a:t>
          </a:r>
        </a:p>
      </dgm:t>
    </dgm:pt>
    <dgm:pt modelId="{27718868-06F5-41FF-BB17-0B5784BDEBCC}" type="parTrans" cxnId="{788997D9-AC8A-4A63-A213-670743A08123}">
      <dgm:prSet/>
      <dgm:spPr/>
      <dgm:t>
        <a:bodyPr/>
        <a:lstStyle/>
        <a:p>
          <a:endParaRPr lang="en-IN"/>
        </a:p>
      </dgm:t>
    </dgm:pt>
    <dgm:pt modelId="{B1A6F74D-F220-4295-B71A-4531FAF9340E}" type="sibTrans" cxnId="{788997D9-AC8A-4A63-A213-670743A08123}">
      <dgm:prSet/>
      <dgm:spPr/>
      <dgm:t>
        <a:bodyPr/>
        <a:lstStyle/>
        <a:p>
          <a:endParaRPr lang="en-IN"/>
        </a:p>
      </dgm:t>
    </dgm:pt>
    <dgm:pt modelId="{872250B8-1A1F-43E3-B167-4B83E5FDF90E}">
      <dgm:prSet/>
      <dgm:spPr/>
      <dgm:t>
        <a:bodyPr/>
        <a:lstStyle/>
        <a:p>
          <a:r>
            <a:rPr lang="en-IN"/>
            <a:t>Selected</a:t>
          </a:r>
        </a:p>
      </dgm:t>
    </dgm:pt>
    <dgm:pt modelId="{3D5D907E-91DB-4864-BF1D-E2FEBEF549AA}" type="parTrans" cxnId="{AF02E3DF-C29E-49E5-9055-AA8CF6B855CD}">
      <dgm:prSet/>
      <dgm:spPr/>
      <dgm:t>
        <a:bodyPr/>
        <a:lstStyle/>
        <a:p>
          <a:endParaRPr lang="en-IN"/>
        </a:p>
      </dgm:t>
    </dgm:pt>
    <dgm:pt modelId="{D9E71177-F028-417F-9C88-DC5C5F8EC2A3}" type="sibTrans" cxnId="{AF02E3DF-C29E-49E5-9055-AA8CF6B855CD}">
      <dgm:prSet/>
      <dgm:spPr/>
      <dgm:t>
        <a:bodyPr/>
        <a:lstStyle/>
        <a:p>
          <a:endParaRPr lang="en-IN"/>
        </a:p>
      </dgm:t>
    </dgm:pt>
    <dgm:pt modelId="{6121B51C-6472-46DC-A267-5AA4A19B6FE5}">
      <dgm:prSet/>
      <dgm:spPr/>
      <dgm:t>
        <a:bodyPr/>
        <a:lstStyle/>
        <a:p>
          <a:r>
            <a:rPr lang="en-IN"/>
            <a:t>Not Selected</a:t>
          </a:r>
        </a:p>
      </dgm:t>
    </dgm:pt>
    <dgm:pt modelId="{89371150-EE4E-4B63-A365-74551603D92B}" type="parTrans" cxnId="{604C8722-0F98-4B9F-A10F-9A754F357CC9}">
      <dgm:prSet/>
      <dgm:spPr/>
      <dgm:t>
        <a:bodyPr/>
        <a:lstStyle/>
        <a:p>
          <a:endParaRPr lang="en-IN"/>
        </a:p>
      </dgm:t>
    </dgm:pt>
    <dgm:pt modelId="{388B4152-7FF5-49CB-B879-C16F45237F2C}" type="sibTrans" cxnId="{604C8722-0F98-4B9F-A10F-9A754F357CC9}">
      <dgm:prSet/>
      <dgm:spPr/>
      <dgm:t>
        <a:bodyPr/>
        <a:lstStyle/>
        <a:p>
          <a:endParaRPr lang="en-IN"/>
        </a:p>
      </dgm:t>
    </dgm:pt>
    <dgm:pt modelId="{DC75BDBE-4B10-405A-A8FE-4CFDA71BDF52}" type="pres">
      <dgm:prSet presAssocID="{3B53B966-0A36-453D-B686-5DA29CE49D80}" presName="hierChild1" presStyleCnt="0">
        <dgm:presLayoutVars>
          <dgm:chPref val="1"/>
          <dgm:dir/>
          <dgm:animOne val="branch"/>
          <dgm:animLvl val="lvl"/>
          <dgm:resizeHandles/>
        </dgm:presLayoutVars>
      </dgm:prSet>
      <dgm:spPr/>
    </dgm:pt>
    <dgm:pt modelId="{45B58FB2-B2EB-404A-A34A-FBA8F4A7568C}" type="pres">
      <dgm:prSet presAssocID="{962DFE4C-EA77-439C-8BD5-AE1DBE89EAEE}" presName="hierRoot1" presStyleCnt="0"/>
      <dgm:spPr/>
    </dgm:pt>
    <dgm:pt modelId="{BEB70BF1-C071-4197-9C2C-BC72D87C05FB}" type="pres">
      <dgm:prSet presAssocID="{962DFE4C-EA77-439C-8BD5-AE1DBE89EAEE}" presName="composite" presStyleCnt="0"/>
      <dgm:spPr/>
    </dgm:pt>
    <dgm:pt modelId="{4FC9C475-DD75-411D-9B2F-B80662EE0F3E}" type="pres">
      <dgm:prSet presAssocID="{962DFE4C-EA77-439C-8BD5-AE1DBE89EAEE}" presName="background" presStyleLbl="node0" presStyleIdx="0" presStyleCnt="1"/>
      <dgm:spPr/>
    </dgm:pt>
    <dgm:pt modelId="{1E48A755-04AD-4435-993E-B9F9FCAC5F08}" type="pres">
      <dgm:prSet presAssocID="{962DFE4C-EA77-439C-8BD5-AE1DBE89EAEE}" presName="text" presStyleLbl="fgAcc0" presStyleIdx="0" presStyleCnt="1">
        <dgm:presLayoutVars>
          <dgm:chPref val="3"/>
        </dgm:presLayoutVars>
      </dgm:prSet>
      <dgm:spPr/>
    </dgm:pt>
    <dgm:pt modelId="{2E0AA9DF-6AAC-4C9C-AECF-92244B732AF6}" type="pres">
      <dgm:prSet presAssocID="{962DFE4C-EA77-439C-8BD5-AE1DBE89EAEE}" presName="hierChild2" presStyleCnt="0"/>
      <dgm:spPr/>
    </dgm:pt>
    <dgm:pt modelId="{F729FCA3-4759-41D3-85EA-94899EC68C3B}" type="pres">
      <dgm:prSet presAssocID="{6DF465A8-E48B-4CCE-84CC-63F2C3945597}" presName="Name10" presStyleLbl="parChTrans1D2" presStyleIdx="0" presStyleCnt="2"/>
      <dgm:spPr/>
    </dgm:pt>
    <dgm:pt modelId="{A49E3BD1-F6AD-4C2C-87C4-7432417D8FC1}" type="pres">
      <dgm:prSet presAssocID="{6702EB23-CFFA-418E-AB2B-C65F36CE091D}" presName="hierRoot2" presStyleCnt="0"/>
      <dgm:spPr/>
    </dgm:pt>
    <dgm:pt modelId="{03CB4B25-7AD5-4517-B1D3-901A4AC05F85}" type="pres">
      <dgm:prSet presAssocID="{6702EB23-CFFA-418E-AB2B-C65F36CE091D}" presName="composite2" presStyleCnt="0"/>
      <dgm:spPr/>
    </dgm:pt>
    <dgm:pt modelId="{FED90F7F-7B37-4A2F-8528-2A51A5753919}" type="pres">
      <dgm:prSet presAssocID="{6702EB23-CFFA-418E-AB2B-C65F36CE091D}" presName="background2" presStyleLbl="node2" presStyleIdx="0" presStyleCnt="2"/>
      <dgm:spPr/>
    </dgm:pt>
    <dgm:pt modelId="{7916E622-ACFA-4D2E-A8D8-72041A4FB950}" type="pres">
      <dgm:prSet presAssocID="{6702EB23-CFFA-418E-AB2B-C65F36CE091D}" presName="text2" presStyleLbl="fgAcc2" presStyleIdx="0" presStyleCnt="2">
        <dgm:presLayoutVars>
          <dgm:chPref val="3"/>
        </dgm:presLayoutVars>
      </dgm:prSet>
      <dgm:spPr/>
    </dgm:pt>
    <dgm:pt modelId="{8F8686C3-6181-4EA6-AD31-240BD06F48FE}" type="pres">
      <dgm:prSet presAssocID="{6702EB23-CFFA-418E-AB2B-C65F36CE091D}" presName="hierChild3" presStyleCnt="0"/>
      <dgm:spPr/>
    </dgm:pt>
    <dgm:pt modelId="{E898A030-3F3C-44E8-A021-4DDDCA65F458}" type="pres">
      <dgm:prSet presAssocID="{EBE5A4E6-7D04-4FE1-8342-314E13E9291A}" presName="Name17" presStyleLbl="parChTrans1D3" presStyleIdx="0" presStyleCnt="2"/>
      <dgm:spPr/>
    </dgm:pt>
    <dgm:pt modelId="{3E6BFA5F-A40C-4C16-BFBA-26A11079187C}" type="pres">
      <dgm:prSet presAssocID="{077DA3DB-6ED2-4462-8785-C62EFF8FF5B8}" presName="hierRoot3" presStyleCnt="0"/>
      <dgm:spPr/>
    </dgm:pt>
    <dgm:pt modelId="{B6271B69-4D89-4B49-BB8F-2039C6DDF18C}" type="pres">
      <dgm:prSet presAssocID="{077DA3DB-6ED2-4462-8785-C62EFF8FF5B8}" presName="composite3" presStyleCnt="0"/>
      <dgm:spPr/>
    </dgm:pt>
    <dgm:pt modelId="{02796A30-DA00-4173-AA50-CF71AEE750E3}" type="pres">
      <dgm:prSet presAssocID="{077DA3DB-6ED2-4462-8785-C62EFF8FF5B8}" presName="background3" presStyleLbl="node3" presStyleIdx="0" presStyleCnt="2"/>
      <dgm:spPr/>
    </dgm:pt>
    <dgm:pt modelId="{2D800A29-CEC3-4E39-8FD3-3F4902E4791C}" type="pres">
      <dgm:prSet presAssocID="{077DA3DB-6ED2-4462-8785-C62EFF8FF5B8}" presName="text3" presStyleLbl="fgAcc3" presStyleIdx="0" presStyleCnt="2">
        <dgm:presLayoutVars>
          <dgm:chPref val="3"/>
        </dgm:presLayoutVars>
      </dgm:prSet>
      <dgm:spPr/>
    </dgm:pt>
    <dgm:pt modelId="{CE5E38E7-36BB-4DDD-91FD-ACBE6B3DC247}" type="pres">
      <dgm:prSet presAssocID="{077DA3DB-6ED2-4462-8785-C62EFF8FF5B8}" presName="hierChild4" presStyleCnt="0"/>
      <dgm:spPr/>
    </dgm:pt>
    <dgm:pt modelId="{95AA2FCF-1E7C-4406-9AC6-DBCEB69A28E4}" type="pres">
      <dgm:prSet presAssocID="{3D5D907E-91DB-4864-BF1D-E2FEBEF549AA}" presName="Name23" presStyleLbl="parChTrans1D4" presStyleIdx="0" presStyleCnt="2"/>
      <dgm:spPr/>
    </dgm:pt>
    <dgm:pt modelId="{A17397B2-9672-4231-8DC7-90E382736B68}" type="pres">
      <dgm:prSet presAssocID="{872250B8-1A1F-43E3-B167-4B83E5FDF90E}" presName="hierRoot4" presStyleCnt="0"/>
      <dgm:spPr/>
    </dgm:pt>
    <dgm:pt modelId="{9B5463BD-9315-43CE-AC5B-64D885674700}" type="pres">
      <dgm:prSet presAssocID="{872250B8-1A1F-43E3-B167-4B83E5FDF90E}" presName="composite4" presStyleCnt="0"/>
      <dgm:spPr/>
    </dgm:pt>
    <dgm:pt modelId="{11365718-2324-4D1E-A423-1ADBBAFF0A04}" type="pres">
      <dgm:prSet presAssocID="{872250B8-1A1F-43E3-B167-4B83E5FDF90E}" presName="background4" presStyleLbl="node4" presStyleIdx="0" presStyleCnt="2"/>
      <dgm:spPr/>
    </dgm:pt>
    <dgm:pt modelId="{966B58F6-EFDE-46B4-AA84-CB263ED6A5D8}" type="pres">
      <dgm:prSet presAssocID="{872250B8-1A1F-43E3-B167-4B83E5FDF90E}" presName="text4" presStyleLbl="fgAcc4" presStyleIdx="0" presStyleCnt="2">
        <dgm:presLayoutVars>
          <dgm:chPref val="3"/>
        </dgm:presLayoutVars>
      </dgm:prSet>
      <dgm:spPr/>
    </dgm:pt>
    <dgm:pt modelId="{5AC24B13-E3C4-46EB-82D8-456BFB28421A}" type="pres">
      <dgm:prSet presAssocID="{872250B8-1A1F-43E3-B167-4B83E5FDF90E}" presName="hierChild5" presStyleCnt="0"/>
      <dgm:spPr/>
    </dgm:pt>
    <dgm:pt modelId="{A0E888A1-C9E1-48AA-88CB-D02A86E2F5BC}" type="pres">
      <dgm:prSet presAssocID="{0BC58012-15A1-49E0-999B-7DCF4E6AEA2A}" presName="Name10" presStyleLbl="parChTrans1D2" presStyleIdx="1" presStyleCnt="2"/>
      <dgm:spPr/>
    </dgm:pt>
    <dgm:pt modelId="{387EC07C-83FA-4E2A-A2FF-A3D2B969F50B}" type="pres">
      <dgm:prSet presAssocID="{85C4182F-48BE-4D41-A7CF-7603BF7D6F87}" presName="hierRoot2" presStyleCnt="0"/>
      <dgm:spPr/>
    </dgm:pt>
    <dgm:pt modelId="{E0925C36-1727-44AB-A212-E7E72DD35872}" type="pres">
      <dgm:prSet presAssocID="{85C4182F-48BE-4D41-A7CF-7603BF7D6F87}" presName="composite2" presStyleCnt="0"/>
      <dgm:spPr/>
    </dgm:pt>
    <dgm:pt modelId="{597DA438-DE41-4980-AD8A-AF98B9CFB740}" type="pres">
      <dgm:prSet presAssocID="{85C4182F-48BE-4D41-A7CF-7603BF7D6F87}" presName="background2" presStyleLbl="node2" presStyleIdx="1" presStyleCnt="2"/>
      <dgm:spPr/>
    </dgm:pt>
    <dgm:pt modelId="{63FA3529-9BE3-4010-A37F-49292C200F99}" type="pres">
      <dgm:prSet presAssocID="{85C4182F-48BE-4D41-A7CF-7603BF7D6F87}" presName="text2" presStyleLbl="fgAcc2" presStyleIdx="1" presStyleCnt="2">
        <dgm:presLayoutVars>
          <dgm:chPref val="3"/>
        </dgm:presLayoutVars>
      </dgm:prSet>
      <dgm:spPr/>
    </dgm:pt>
    <dgm:pt modelId="{8C2CDF53-46D2-4632-B17A-80BC3F6F98DC}" type="pres">
      <dgm:prSet presAssocID="{85C4182F-48BE-4D41-A7CF-7603BF7D6F87}" presName="hierChild3" presStyleCnt="0"/>
      <dgm:spPr/>
    </dgm:pt>
    <dgm:pt modelId="{3EBF6422-FB5C-4478-8E30-D771B4BF5CFD}" type="pres">
      <dgm:prSet presAssocID="{27718868-06F5-41FF-BB17-0B5784BDEBCC}" presName="Name17" presStyleLbl="parChTrans1D3" presStyleIdx="1" presStyleCnt="2"/>
      <dgm:spPr/>
    </dgm:pt>
    <dgm:pt modelId="{58987772-0632-43B9-B233-7A2BAC032121}" type="pres">
      <dgm:prSet presAssocID="{AABF0563-9EEE-4FA6-854B-6947C4112791}" presName="hierRoot3" presStyleCnt="0"/>
      <dgm:spPr/>
    </dgm:pt>
    <dgm:pt modelId="{CB8F64BD-7426-4BCB-A260-DD247AFDBA64}" type="pres">
      <dgm:prSet presAssocID="{AABF0563-9EEE-4FA6-854B-6947C4112791}" presName="composite3" presStyleCnt="0"/>
      <dgm:spPr/>
    </dgm:pt>
    <dgm:pt modelId="{5B8553CC-A98E-4FD2-83A5-D112E613C2E1}" type="pres">
      <dgm:prSet presAssocID="{AABF0563-9EEE-4FA6-854B-6947C4112791}" presName="background3" presStyleLbl="node3" presStyleIdx="1" presStyleCnt="2"/>
      <dgm:spPr/>
    </dgm:pt>
    <dgm:pt modelId="{31A26054-F60B-45A0-B3CF-768C0B88B077}" type="pres">
      <dgm:prSet presAssocID="{AABF0563-9EEE-4FA6-854B-6947C4112791}" presName="text3" presStyleLbl="fgAcc3" presStyleIdx="1" presStyleCnt="2">
        <dgm:presLayoutVars>
          <dgm:chPref val="3"/>
        </dgm:presLayoutVars>
      </dgm:prSet>
      <dgm:spPr/>
    </dgm:pt>
    <dgm:pt modelId="{8D47D69A-914C-4D29-9E1E-AD0C8EE5459C}" type="pres">
      <dgm:prSet presAssocID="{AABF0563-9EEE-4FA6-854B-6947C4112791}" presName="hierChild4" presStyleCnt="0"/>
      <dgm:spPr/>
    </dgm:pt>
    <dgm:pt modelId="{D45CD951-67CB-479C-B72E-D054DEE27101}" type="pres">
      <dgm:prSet presAssocID="{89371150-EE4E-4B63-A365-74551603D92B}" presName="Name23" presStyleLbl="parChTrans1D4" presStyleIdx="1" presStyleCnt="2"/>
      <dgm:spPr/>
    </dgm:pt>
    <dgm:pt modelId="{0ED610F2-FCDD-4F63-9940-8FADCAF65685}" type="pres">
      <dgm:prSet presAssocID="{6121B51C-6472-46DC-A267-5AA4A19B6FE5}" presName="hierRoot4" presStyleCnt="0"/>
      <dgm:spPr/>
    </dgm:pt>
    <dgm:pt modelId="{9DAC8DD2-7315-4C9D-B941-1DC93B0ABB09}" type="pres">
      <dgm:prSet presAssocID="{6121B51C-6472-46DC-A267-5AA4A19B6FE5}" presName="composite4" presStyleCnt="0"/>
      <dgm:spPr/>
    </dgm:pt>
    <dgm:pt modelId="{9D8F336D-5E15-4DA1-B649-EE4E2D81E5D2}" type="pres">
      <dgm:prSet presAssocID="{6121B51C-6472-46DC-A267-5AA4A19B6FE5}" presName="background4" presStyleLbl="node4" presStyleIdx="1" presStyleCnt="2"/>
      <dgm:spPr/>
    </dgm:pt>
    <dgm:pt modelId="{E98FC5B9-4D4E-4EE1-8467-574F0B518862}" type="pres">
      <dgm:prSet presAssocID="{6121B51C-6472-46DC-A267-5AA4A19B6FE5}" presName="text4" presStyleLbl="fgAcc4" presStyleIdx="1" presStyleCnt="2">
        <dgm:presLayoutVars>
          <dgm:chPref val="3"/>
        </dgm:presLayoutVars>
      </dgm:prSet>
      <dgm:spPr/>
    </dgm:pt>
    <dgm:pt modelId="{3918F0BC-E88F-49BE-A746-F9655D105901}" type="pres">
      <dgm:prSet presAssocID="{6121B51C-6472-46DC-A267-5AA4A19B6FE5}" presName="hierChild5" presStyleCnt="0"/>
      <dgm:spPr/>
    </dgm:pt>
  </dgm:ptLst>
  <dgm:cxnLst>
    <dgm:cxn modelId="{12870C00-1F05-4F92-A5FF-650290FD211C}" type="presOf" srcId="{89371150-EE4E-4B63-A365-74551603D92B}" destId="{D45CD951-67CB-479C-B72E-D054DEE27101}" srcOrd="0" destOrd="0" presId="urn:microsoft.com/office/officeart/2005/8/layout/hierarchy1"/>
    <dgm:cxn modelId="{604C8722-0F98-4B9F-A10F-9A754F357CC9}" srcId="{AABF0563-9EEE-4FA6-854B-6947C4112791}" destId="{6121B51C-6472-46DC-A267-5AA4A19B6FE5}" srcOrd="0" destOrd="0" parTransId="{89371150-EE4E-4B63-A365-74551603D92B}" sibTransId="{388B4152-7FF5-49CB-B879-C16F45237F2C}"/>
    <dgm:cxn modelId="{8B33CC24-2FC6-4523-9259-36164A23E15F}" type="presOf" srcId="{3D5D907E-91DB-4864-BF1D-E2FEBEF549AA}" destId="{95AA2FCF-1E7C-4406-9AC6-DBCEB69A28E4}" srcOrd="0" destOrd="0" presId="urn:microsoft.com/office/officeart/2005/8/layout/hierarchy1"/>
    <dgm:cxn modelId="{617A0725-3708-456D-8196-6903265441EA}" type="presOf" srcId="{6DF465A8-E48B-4CCE-84CC-63F2C3945597}" destId="{F729FCA3-4759-41D3-85EA-94899EC68C3B}" srcOrd="0" destOrd="0" presId="urn:microsoft.com/office/officeart/2005/8/layout/hierarchy1"/>
    <dgm:cxn modelId="{BE9A182D-9D58-4EB0-A5BD-FB03EB2D220B}" srcId="{962DFE4C-EA77-439C-8BD5-AE1DBE89EAEE}" destId="{85C4182F-48BE-4D41-A7CF-7603BF7D6F87}" srcOrd="1" destOrd="0" parTransId="{0BC58012-15A1-49E0-999B-7DCF4E6AEA2A}" sibTransId="{4BEE745D-E4D7-4C48-B705-95F06701A489}"/>
    <dgm:cxn modelId="{07F5ED2F-F2AA-454F-BA2C-ECEE64C5CD8C}" type="presOf" srcId="{6702EB23-CFFA-418E-AB2B-C65F36CE091D}" destId="{7916E622-ACFA-4D2E-A8D8-72041A4FB950}" srcOrd="0" destOrd="0" presId="urn:microsoft.com/office/officeart/2005/8/layout/hierarchy1"/>
    <dgm:cxn modelId="{2E1B1730-C803-4BC0-8DFE-5606DF5EC195}" type="presOf" srcId="{85C4182F-48BE-4D41-A7CF-7603BF7D6F87}" destId="{63FA3529-9BE3-4010-A37F-49292C200F99}" srcOrd="0" destOrd="0" presId="urn:microsoft.com/office/officeart/2005/8/layout/hierarchy1"/>
    <dgm:cxn modelId="{34090231-14FB-44F2-AA1A-2610CE4CCE9E}" type="presOf" srcId="{AABF0563-9EEE-4FA6-854B-6947C4112791}" destId="{31A26054-F60B-45A0-B3CF-768C0B88B077}" srcOrd="0" destOrd="0" presId="urn:microsoft.com/office/officeart/2005/8/layout/hierarchy1"/>
    <dgm:cxn modelId="{2FD06B36-D9A2-440F-96F3-4DCF501EDA49}" type="presOf" srcId="{3B53B966-0A36-453D-B686-5DA29CE49D80}" destId="{DC75BDBE-4B10-405A-A8FE-4CFDA71BDF52}" srcOrd="0" destOrd="0" presId="urn:microsoft.com/office/officeart/2005/8/layout/hierarchy1"/>
    <dgm:cxn modelId="{65C75962-4249-406F-8885-691FE9A10437}" type="presOf" srcId="{077DA3DB-6ED2-4462-8785-C62EFF8FF5B8}" destId="{2D800A29-CEC3-4E39-8FD3-3F4902E4791C}" srcOrd="0" destOrd="0" presId="urn:microsoft.com/office/officeart/2005/8/layout/hierarchy1"/>
    <dgm:cxn modelId="{22AB0B6D-587F-4D31-B0F7-540D8C0A2EE6}" type="presOf" srcId="{EBE5A4E6-7D04-4FE1-8342-314E13E9291A}" destId="{E898A030-3F3C-44E8-A021-4DDDCA65F458}" srcOrd="0" destOrd="0" presId="urn:microsoft.com/office/officeart/2005/8/layout/hierarchy1"/>
    <dgm:cxn modelId="{3C9E014F-E7F6-4687-91B1-D0740C633DBA}" srcId="{3B53B966-0A36-453D-B686-5DA29CE49D80}" destId="{962DFE4C-EA77-439C-8BD5-AE1DBE89EAEE}" srcOrd="0" destOrd="0" parTransId="{C7811DE3-35AA-4F4C-8086-7D1177004ADC}" sibTransId="{71D4D16E-988E-4174-B0D8-8FB96492047D}"/>
    <dgm:cxn modelId="{5DE3037B-A631-4C2B-A258-31CA575ECEF1}" srcId="{962DFE4C-EA77-439C-8BD5-AE1DBE89EAEE}" destId="{6702EB23-CFFA-418E-AB2B-C65F36CE091D}" srcOrd="0" destOrd="0" parTransId="{6DF465A8-E48B-4CCE-84CC-63F2C3945597}" sibTransId="{8BB2B9AB-1DA2-46C0-BCD5-E025CE9EFECE}"/>
    <dgm:cxn modelId="{CFFBA284-DEEA-4DCA-AE80-FBC61D6421D6}" type="presOf" srcId="{0BC58012-15A1-49E0-999B-7DCF4E6AEA2A}" destId="{A0E888A1-C9E1-48AA-88CB-D02A86E2F5BC}" srcOrd="0" destOrd="0" presId="urn:microsoft.com/office/officeart/2005/8/layout/hierarchy1"/>
    <dgm:cxn modelId="{9CC31786-41A3-4E81-B072-F82290A6ADCB}" srcId="{6702EB23-CFFA-418E-AB2B-C65F36CE091D}" destId="{077DA3DB-6ED2-4462-8785-C62EFF8FF5B8}" srcOrd="0" destOrd="0" parTransId="{EBE5A4E6-7D04-4FE1-8342-314E13E9291A}" sibTransId="{86ABD072-4B87-4CC1-9D1A-BF6316E92DB2}"/>
    <dgm:cxn modelId="{35398ACD-2B54-4426-90A3-F16DD481B0A6}" type="presOf" srcId="{872250B8-1A1F-43E3-B167-4B83E5FDF90E}" destId="{966B58F6-EFDE-46B4-AA84-CB263ED6A5D8}" srcOrd="0" destOrd="0" presId="urn:microsoft.com/office/officeart/2005/8/layout/hierarchy1"/>
    <dgm:cxn modelId="{FAA9A4D0-47D3-4373-844F-04F45088FB74}" type="presOf" srcId="{962DFE4C-EA77-439C-8BD5-AE1DBE89EAEE}" destId="{1E48A755-04AD-4435-993E-B9F9FCAC5F08}" srcOrd="0" destOrd="0" presId="urn:microsoft.com/office/officeart/2005/8/layout/hierarchy1"/>
    <dgm:cxn modelId="{A63758D7-14B6-418D-8B99-661C51605637}" type="presOf" srcId="{27718868-06F5-41FF-BB17-0B5784BDEBCC}" destId="{3EBF6422-FB5C-4478-8E30-D771B4BF5CFD}" srcOrd="0" destOrd="0" presId="urn:microsoft.com/office/officeart/2005/8/layout/hierarchy1"/>
    <dgm:cxn modelId="{788997D9-AC8A-4A63-A213-670743A08123}" srcId="{85C4182F-48BE-4D41-A7CF-7603BF7D6F87}" destId="{AABF0563-9EEE-4FA6-854B-6947C4112791}" srcOrd="0" destOrd="0" parTransId="{27718868-06F5-41FF-BB17-0B5784BDEBCC}" sibTransId="{B1A6F74D-F220-4295-B71A-4531FAF9340E}"/>
    <dgm:cxn modelId="{AF02E3DF-C29E-49E5-9055-AA8CF6B855CD}" srcId="{077DA3DB-6ED2-4462-8785-C62EFF8FF5B8}" destId="{872250B8-1A1F-43E3-B167-4B83E5FDF90E}" srcOrd="0" destOrd="0" parTransId="{3D5D907E-91DB-4864-BF1D-E2FEBEF549AA}" sibTransId="{D9E71177-F028-417F-9C88-DC5C5F8EC2A3}"/>
    <dgm:cxn modelId="{63FC8DF0-9342-4A24-9FE3-8F21B48AD898}" type="presOf" srcId="{6121B51C-6472-46DC-A267-5AA4A19B6FE5}" destId="{E98FC5B9-4D4E-4EE1-8467-574F0B518862}" srcOrd="0" destOrd="0" presId="urn:microsoft.com/office/officeart/2005/8/layout/hierarchy1"/>
    <dgm:cxn modelId="{D9AF5993-417A-4992-9A6C-D399F2573C43}" type="presParOf" srcId="{DC75BDBE-4B10-405A-A8FE-4CFDA71BDF52}" destId="{45B58FB2-B2EB-404A-A34A-FBA8F4A7568C}" srcOrd="0" destOrd="0" presId="urn:microsoft.com/office/officeart/2005/8/layout/hierarchy1"/>
    <dgm:cxn modelId="{0F5FB01C-C560-423A-86D7-7354984AF3F3}" type="presParOf" srcId="{45B58FB2-B2EB-404A-A34A-FBA8F4A7568C}" destId="{BEB70BF1-C071-4197-9C2C-BC72D87C05FB}" srcOrd="0" destOrd="0" presId="urn:microsoft.com/office/officeart/2005/8/layout/hierarchy1"/>
    <dgm:cxn modelId="{0D8C720A-7618-4D57-B47E-F180B65389EA}" type="presParOf" srcId="{BEB70BF1-C071-4197-9C2C-BC72D87C05FB}" destId="{4FC9C475-DD75-411D-9B2F-B80662EE0F3E}" srcOrd="0" destOrd="0" presId="urn:microsoft.com/office/officeart/2005/8/layout/hierarchy1"/>
    <dgm:cxn modelId="{36C69175-EE93-4D8B-A15E-BCDD6CD9F4D0}" type="presParOf" srcId="{BEB70BF1-C071-4197-9C2C-BC72D87C05FB}" destId="{1E48A755-04AD-4435-993E-B9F9FCAC5F08}" srcOrd="1" destOrd="0" presId="urn:microsoft.com/office/officeart/2005/8/layout/hierarchy1"/>
    <dgm:cxn modelId="{8A229699-86C7-4B3E-B69E-2E85CB4E8A2B}" type="presParOf" srcId="{45B58FB2-B2EB-404A-A34A-FBA8F4A7568C}" destId="{2E0AA9DF-6AAC-4C9C-AECF-92244B732AF6}" srcOrd="1" destOrd="0" presId="urn:microsoft.com/office/officeart/2005/8/layout/hierarchy1"/>
    <dgm:cxn modelId="{9DEEA85D-4D61-437D-BAF6-5312B755A811}" type="presParOf" srcId="{2E0AA9DF-6AAC-4C9C-AECF-92244B732AF6}" destId="{F729FCA3-4759-41D3-85EA-94899EC68C3B}" srcOrd="0" destOrd="0" presId="urn:microsoft.com/office/officeart/2005/8/layout/hierarchy1"/>
    <dgm:cxn modelId="{1317EECF-8B3A-4573-B43A-0DE02D5F7390}" type="presParOf" srcId="{2E0AA9DF-6AAC-4C9C-AECF-92244B732AF6}" destId="{A49E3BD1-F6AD-4C2C-87C4-7432417D8FC1}" srcOrd="1" destOrd="0" presId="urn:microsoft.com/office/officeart/2005/8/layout/hierarchy1"/>
    <dgm:cxn modelId="{D96EE852-2AD9-4A32-A535-B2B3A341CD7E}" type="presParOf" srcId="{A49E3BD1-F6AD-4C2C-87C4-7432417D8FC1}" destId="{03CB4B25-7AD5-4517-B1D3-901A4AC05F85}" srcOrd="0" destOrd="0" presId="urn:microsoft.com/office/officeart/2005/8/layout/hierarchy1"/>
    <dgm:cxn modelId="{ECB1C81D-9BBE-40F8-976C-10DA26882EF3}" type="presParOf" srcId="{03CB4B25-7AD5-4517-B1D3-901A4AC05F85}" destId="{FED90F7F-7B37-4A2F-8528-2A51A5753919}" srcOrd="0" destOrd="0" presId="urn:microsoft.com/office/officeart/2005/8/layout/hierarchy1"/>
    <dgm:cxn modelId="{5C0C14E7-C558-4868-A11E-B65DFEC8405A}" type="presParOf" srcId="{03CB4B25-7AD5-4517-B1D3-901A4AC05F85}" destId="{7916E622-ACFA-4D2E-A8D8-72041A4FB950}" srcOrd="1" destOrd="0" presId="urn:microsoft.com/office/officeart/2005/8/layout/hierarchy1"/>
    <dgm:cxn modelId="{FE954C7C-1F14-48A7-B752-FAA916430465}" type="presParOf" srcId="{A49E3BD1-F6AD-4C2C-87C4-7432417D8FC1}" destId="{8F8686C3-6181-4EA6-AD31-240BD06F48FE}" srcOrd="1" destOrd="0" presId="urn:microsoft.com/office/officeart/2005/8/layout/hierarchy1"/>
    <dgm:cxn modelId="{90EA176C-6345-4CBF-9C28-750F808801A0}" type="presParOf" srcId="{8F8686C3-6181-4EA6-AD31-240BD06F48FE}" destId="{E898A030-3F3C-44E8-A021-4DDDCA65F458}" srcOrd="0" destOrd="0" presId="urn:microsoft.com/office/officeart/2005/8/layout/hierarchy1"/>
    <dgm:cxn modelId="{B0A06C4A-B9FC-4043-B10D-B1852A2373EB}" type="presParOf" srcId="{8F8686C3-6181-4EA6-AD31-240BD06F48FE}" destId="{3E6BFA5F-A40C-4C16-BFBA-26A11079187C}" srcOrd="1" destOrd="0" presId="urn:microsoft.com/office/officeart/2005/8/layout/hierarchy1"/>
    <dgm:cxn modelId="{806F54C8-5CA2-4828-A9A0-60C94968AD9E}" type="presParOf" srcId="{3E6BFA5F-A40C-4C16-BFBA-26A11079187C}" destId="{B6271B69-4D89-4B49-BB8F-2039C6DDF18C}" srcOrd="0" destOrd="0" presId="urn:microsoft.com/office/officeart/2005/8/layout/hierarchy1"/>
    <dgm:cxn modelId="{A351A53A-59F6-408E-B68F-3497D5E4CBE6}" type="presParOf" srcId="{B6271B69-4D89-4B49-BB8F-2039C6DDF18C}" destId="{02796A30-DA00-4173-AA50-CF71AEE750E3}" srcOrd="0" destOrd="0" presId="urn:microsoft.com/office/officeart/2005/8/layout/hierarchy1"/>
    <dgm:cxn modelId="{9720D1CD-9F12-4A20-A4DB-7B714DE1FB09}" type="presParOf" srcId="{B6271B69-4D89-4B49-BB8F-2039C6DDF18C}" destId="{2D800A29-CEC3-4E39-8FD3-3F4902E4791C}" srcOrd="1" destOrd="0" presId="urn:microsoft.com/office/officeart/2005/8/layout/hierarchy1"/>
    <dgm:cxn modelId="{E438FECD-971B-4550-977C-58CEE90E72DC}" type="presParOf" srcId="{3E6BFA5F-A40C-4C16-BFBA-26A11079187C}" destId="{CE5E38E7-36BB-4DDD-91FD-ACBE6B3DC247}" srcOrd="1" destOrd="0" presId="urn:microsoft.com/office/officeart/2005/8/layout/hierarchy1"/>
    <dgm:cxn modelId="{F2F04AE4-D026-447E-B600-3F3F2424E5D1}" type="presParOf" srcId="{CE5E38E7-36BB-4DDD-91FD-ACBE6B3DC247}" destId="{95AA2FCF-1E7C-4406-9AC6-DBCEB69A28E4}" srcOrd="0" destOrd="0" presId="urn:microsoft.com/office/officeart/2005/8/layout/hierarchy1"/>
    <dgm:cxn modelId="{90768671-3BF3-4D60-B789-467EC564D841}" type="presParOf" srcId="{CE5E38E7-36BB-4DDD-91FD-ACBE6B3DC247}" destId="{A17397B2-9672-4231-8DC7-90E382736B68}" srcOrd="1" destOrd="0" presId="urn:microsoft.com/office/officeart/2005/8/layout/hierarchy1"/>
    <dgm:cxn modelId="{A9321114-1BB4-49A2-A78F-34657E9BCFD7}" type="presParOf" srcId="{A17397B2-9672-4231-8DC7-90E382736B68}" destId="{9B5463BD-9315-43CE-AC5B-64D885674700}" srcOrd="0" destOrd="0" presId="urn:microsoft.com/office/officeart/2005/8/layout/hierarchy1"/>
    <dgm:cxn modelId="{F26DAB31-9A37-4B1F-837E-50D86363BFB2}" type="presParOf" srcId="{9B5463BD-9315-43CE-AC5B-64D885674700}" destId="{11365718-2324-4D1E-A423-1ADBBAFF0A04}" srcOrd="0" destOrd="0" presId="urn:microsoft.com/office/officeart/2005/8/layout/hierarchy1"/>
    <dgm:cxn modelId="{78811884-3C44-45F7-8008-4D59276C86A6}" type="presParOf" srcId="{9B5463BD-9315-43CE-AC5B-64D885674700}" destId="{966B58F6-EFDE-46B4-AA84-CB263ED6A5D8}" srcOrd="1" destOrd="0" presId="urn:microsoft.com/office/officeart/2005/8/layout/hierarchy1"/>
    <dgm:cxn modelId="{D19244C1-C137-4A97-BC78-4AC3473FEFFA}" type="presParOf" srcId="{A17397B2-9672-4231-8DC7-90E382736B68}" destId="{5AC24B13-E3C4-46EB-82D8-456BFB28421A}" srcOrd="1" destOrd="0" presId="urn:microsoft.com/office/officeart/2005/8/layout/hierarchy1"/>
    <dgm:cxn modelId="{A0BEFC6C-8B7C-4223-9711-F9CEBE56BD3B}" type="presParOf" srcId="{2E0AA9DF-6AAC-4C9C-AECF-92244B732AF6}" destId="{A0E888A1-C9E1-48AA-88CB-D02A86E2F5BC}" srcOrd="2" destOrd="0" presId="urn:microsoft.com/office/officeart/2005/8/layout/hierarchy1"/>
    <dgm:cxn modelId="{F98BB7CC-3B29-4744-BCCA-029A9DF81E09}" type="presParOf" srcId="{2E0AA9DF-6AAC-4C9C-AECF-92244B732AF6}" destId="{387EC07C-83FA-4E2A-A2FF-A3D2B969F50B}" srcOrd="3" destOrd="0" presId="urn:microsoft.com/office/officeart/2005/8/layout/hierarchy1"/>
    <dgm:cxn modelId="{CADD7A87-EB6C-4C40-89A1-5295221C9ED9}" type="presParOf" srcId="{387EC07C-83FA-4E2A-A2FF-A3D2B969F50B}" destId="{E0925C36-1727-44AB-A212-E7E72DD35872}" srcOrd="0" destOrd="0" presId="urn:microsoft.com/office/officeart/2005/8/layout/hierarchy1"/>
    <dgm:cxn modelId="{7A62EBF1-6004-4BDB-A0A9-04C910C20F83}" type="presParOf" srcId="{E0925C36-1727-44AB-A212-E7E72DD35872}" destId="{597DA438-DE41-4980-AD8A-AF98B9CFB740}" srcOrd="0" destOrd="0" presId="urn:microsoft.com/office/officeart/2005/8/layout/hierarchy1"/>
    <dgm:cxn modelId="{A134C7CF-BB9A-437C-8BA8-97AB1DB56F6C}" type="presParOf" srcId="{E0925C36-1727-44AB-A212-E7E72DD35872}" destId="{63FA3529-9BE3-4010-A37F-49292C200F99}" srcOrd="1" destOrd="0" presId="urn:microsoft.com/office/officeart/2005/8/layout/hierarchy1"/>
    <dgm:cxn modelId="{972E11E4-8651-4B18-BFB3-AE6828706631}" type="presParOf" srcId="{387EC07C-83FA-4E2A-A2FF-A3D2B969F50B}" destId="{8C2CDF53-46D2-4632-B17A-80BC3F6F98DC}" srcOrd="1" destOrd="0" presId="urn:microsoft.com/office/officeart/2005/8/layout/hierarchy1"/>
    <dgm:cxn modelId="{6B58879C-1C74-417B-88BF-DBE6392CFFDC}" type="presParOf" srcId="{8C2CDF53-46D2-4632-B17A-80BC3F6F98DC}" destId="{3EBF6422-FB5C-4478-8E30-D771B4BF5CFD}" srcOrd="0" destOrd="0" presId="urn:microsoft.com/office/officeart/2005/8/layout/hierarchy1"/>
    <dgm:cxn modelId="{81DF1732-219B-4607-9A83-70F300EB6754}" type="presParOf" srcId="{8C2CDF53-46D2-4632-B17A-80BC3F6F98DC}" destId="{58987772-0632-43B9-B233-7A2BAC032121}" srcOrd="1" destOrd="0" presId="urn:microsoft.com/office/officeart/2005/8/layout/hierarchy1"/>
    <dgm:cxn modelId="{6C7DD694-0B61-4BA0-A15B-255B06A23210}" type="presParOf" srcId="{58987772-0632-43B9-B233-7A2BAC032121}" destId="{CB8F64BD-7426-4BCB-A260-DD247AFDBA64}" srcOrd="0" destOrd="0" presId="urn:microsoft.com/office/officeart/2005/8/layout/hierarchy1"/>
    <dgm:cxn modelId="{42DAF0DE-FFB9-4B3D-9A76-4BE83D6E062B}" type="presParOf" srcId="{CB8F64BD-7426-4BCB-A260-DD247AFDBA64}" destId="{5B8553CC-A98E-4FD2-83A5-D112E613C2E1}" srcOrd="0" destOrd="0" presId="urn:microsoft.com/office/officeart/2005/8/layout/hierarchy1"/>
    <dgm:cxn modelId="{04F5CFF0-C7D7-4EEA-81CC-343F0D07B113}" type="presParOf" srcId="{CB8F64BD-7426-4BCB-A260-DD247AFDBA64}" destId="{31A26054-F60B-45A0-B3CF-768C0B88B077}" srcOrd="1" destOrd="0" presId="urn:microsoft.com/office/officeart/2005/8/layout/hierarchy1"/>
    <dgm:cxn modelId="{5DB3F892-777A-4D3B-9FF9-65BFC371D608}" type="presParOf" srcId="{58987772-0632-43B9-B233-7A2BAC032121}" destId="{8D47D69A-914C-4D29-9E1E-AD0C8EE5459C}" srcOrd="1" destOrd="0" presId="urn:microsoft.com/office/officeart/2005/8/layout/hierarchy1"/>
    <dgm:cxn modelId="{6CE4D20B-02EE-428B-A3DD-DA8CECF8B302}" type="presParOf" srcId="{8D47D69A-914C-4D29-9E1E-AD0C8EE5459C}" destId="{D45CD951-67CB-479C-B72E-D054DEE27101}" srcOrd="0" destOrd="0" presId="urn:microsoft.com/office/officeart/2005/8/layout/hierarchy1"/>
    <dgm:cxn modelId="{40DD54F0-45AF-4FC5-BB3B-B077C5226B0C}" type="presParOf" srcId="{8D47D69A-914C-4D29-9E1E-AD0C8EE5459C}" destId="{0ED610F2-FCDD-4F63-9940-8FADCAF65685}" srcOrd="1" destOrd="0" presId="urn:microsoft.com/office/officeart/2005/8/layout/hierarchy1"/>
    <dgm:cxn modelId="{BF76A4E1-1002-49CE-B4DB-BB404150CCBA}" type="presParOf" srcId="{0ED610F2-FCDD-4F63-9940-8FADCAF65685}" destId="{9DAC8DD2-7315-4C9D-B941-1DC93B0ABB09}" srcOrd="0" destOrd="0" presId="urn:microsoft.com/office/officeart/2005/8/layout/hierarchy1"/>
    <dgm:cxn modelId="{F00CB8BB-81DC-4C53-9330-4C9A7876FF40}" type="presParOf" srcId="{9DAC8DD2-7315-4C9D-B941-1DC93B0ABB09}" destId="{9D8F336D-5E15-4DA1-B649-EE4E2D81E5D2}" srcOrd="0" destOrd="0" presId="urn:microsoft.com/office/officeart/2005/8/layout/hierarchy1"/>
    <dgm:cxn modelId="{BAEF45B7-F5D5-40BF-BBB4-F24F4C4578BD}" type="presParOf" srcId="{9DAC8DD2-7315-4C9D-B941-1DC93B0ABB09}" destId="{E98FC5B9-4D4E-4EE1-8467-574F0B518862}" srcOrd="1" destOrd="0" presId="urn:microsoft.com/office/officeart/2005/8/layout/hierarchy1"/>
    <dgm:cxn modelId="{6C6FD89D-08A9-45B2-8605-82F2FB75A709}" type="presParOf" srcId="{0ED610F2-FCDD-4F63-9940-8FADCAF65685}" destId="{3918F0BC-E88F-49BE-A746-F9655D105901}" srcOrd="1" destOrd="0" presId="urn:microsoft.com/office/officeart/2005/8/layout/hierarchy1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ata3.xml><?xml version="1.0" encoding="utf-8"?>
<dgm:dataModel xmlns:dgm="http://schemas.openxmlformats.org/drawingml/2006/diagram" xmlns:a="http://schemas.openxmlformats.org/drawingml/2006/main">
  <dgm:ptLst>
    <dgm:pt modelId="{3B53B966-0A36-453D-B686-5DA29CE49D80}" type="doc">
      <dgm:prSet loTypeId="urn:microsoft.com/office/officeart/2005/8/layout/hierarchy1" loCatId="hierarchy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en-IN"/>
        </a:p>
      </dgm:t>
    </dgm:pt>
    <dgm:pt modelId="{962DFE4C-EA77-439C-8BD5-AE1DBE89EAEE}">
      <dgm:prSet phldrT="[Text]"/>
      <dgm:spPr/>
      <dgm:t>
        <a:bodyPr/>
        <a:lstStyle/>
        <a:p>
          <a:r>
            <a:rPr lang="en-IN"/>
            <a:t>Customer</a:t>
          </a:r>
        </a:p>
      </dgm:t>
    </dgm:pt>
    <dgm:pt modelId="{C7811DE3-35AA-4F4C-8086-7D1177004ADC}" type="parTrans" cxnId="{3C9E014F-E7F6-4687-91B1-D0740C633DBA}">
      <dgm:prSet/>
      <dgm:spPr/>
      <dgm:t>
        <a:bodyPr/>
        <a:lstStyle/>
        <a:p>
          <a:endParaRPr lang="en-IN"/>
        </a:p>
      </dgm:t>
    </dgm:pt>
    <dgm:pt modelId="{71D4D16E-988E-4174-B0D8-8FB96492047D}" type="sibTrans" cxnId="{3C9E014F-E7F6-4687-91B1-D0740C633DBA}">
      <dgm:prSet/>
      <dgm:spPr/>
      <dgm:t>
        <a:bodyPr/>
        <a:lstStyle/>
        <a:p>
          <a:endParaRPr lang="en-IN"/>
        </a:p>
      </dgm:t>
    </dgm:pt>
    <dgm:pt modelId="{6702EB23-CFFA-418E-AB2B-C65F36CE091D}">
      <dgm:prSet phldrT="[Text]"/>
      <dgm:spPr/>
      <dgm:t>
        <a:bodyPr/>
        <a:lstStyle/>
        <a:p>
          <a:r>
            <a:rPr lang="en-IN"/>
            <a:t>Quantity&gt;=5</a:t>
          </a:r>
        </a:p>
        <a:p>
          <a:r>
            <a:rPr lang="en-IN" b="1"/>
            <a:t>OR</a:t>
          </a:r>
        </a:p>
        <a:p>
          <a:r>
            <a:rPr lang="en-IN"/>
            <a:t>Total Spent &gt;=100</a:t>
          </a:r>
        </a:p>
      </dgm:t>
    </dgm:pt>
    <dgm:pt modelId="{6DF465A8-E48B-4CCE-84CC-63F2C3945597}" type="parTrans" cxnId="{5DE3037B-A631-4C2B-A258-31CA575ECEF1}">
      <dgm:prSet/>
      <dgm:spPr/>
      <dgm:t>
        <a:bodyPr/>
        <a:lstStyle/>
        <a:p>
          <a:endParaRPr lang="en-IN"/>
        </a:p>
      </dgm:t>
    </dgm:pt>
    <dgm:pt modelId="{8BB2B9AB-1DA2-46C0-BCD5-E025CE9EFECE}" type="sibTrans" cxnId="{5DE3037B-A631-4C2B-A258-31CA575ECEF1}">
      <dgm:prSet/>
      <dgm:spPr/>
      <dgm:t>
        <a:bodyPr/>
        <a:lstStyle/>
        <a:p>
          <a:endParaRPr lang="en-IN"/>
        </a:p>
      </dgm:t>
    </dgm:pt>
    <dgm:pt modelId="{077DA3DB-6ED2-4462-8785-C62EFF8FF5B8}">
      <dgm:prSet phldrT="[Text]"/>
      <dgm:spPr/>
      <dgm:t>
        <a:bodyPr/>
        <a:lstStyle/>
        <a:p>
          <a:r>
            <a:rPr lang="en-IN"/>
            <a:t>Yes</a:t>
          </a:r>
        </a:p>
      </dgm:t>
    </dgm:pt>
    <dgm:pt modelId="{EBE5A4E6-7D04-4FE1-8342-314E13E9291A}" type="parTrans" cxnId="{9CC31786-41A3-4E81-B072-F82290A6ADCB}">
      <dgm:prSet/>
      <dgm:spPr/>
      <dgm:t>
        <a:bodyPr/>
        <a:lstStyle/>
        <a:p>
          <a:endParaRPr lang="en-IN"/>
        </a:p>
      </dgm:t>
    </dgm:pt>
    <dgm:pt modelId="{86ABD072-4B87-4CC1-9D1A-BF6316E92DB2}" type="sibTrans" cxnId="{9CC31786-41A3-4E81-B072-F82290A6ADCB}">
      <dgm:prSet/>
      <dgm:spPr/>
      <dgm:t>
        <a:bodyPr/>
        <a:lstStyle/>
        <a:p>
          <a:endParaRPr lang="en-IN"/>
        </a:p>
      </dgm:t>
    </dgm:pt>
    <dgm:pt modelId="{85C4182F-48BE-4D41-A7CF-7603BF7D6F87}">
      <dgm:prSet phldrT="[Text]"/>
      <dgm:spPr/>
      <dgm:t>
        <a:bodyPr/>
        <a:lstStyle/>
        <a:p>
          <a:r>
            <a:rPr lang="en-IN"/>
            <a:t>Quantity&lt;5</a:t>
          </a:r>
        </a:p>
        <a:p>
          <a:r>
            <a:rPr lang="en-IN" b="1"/>
            <a:t>OR</a:t>
          </a:r>
        </a:p>
        <a:p>
          <a:r>
            <a:rPr lang="en-IN"/>
            <a:t>Total Spent &lt;100</a:t>
          </a:r>
        </a:p>
      </dgm:t>
    </dgm:pt>
    <dgm:pt modelId="{0BC58012-15A1-49E0-999B-7DCF4E6AEA2A}" type="parTrans" cxnId="{BE9A182D-9D58-4EB0-A5BD-FB03EB2D220B}">
      <dgm:prSet/>
      <dgm:spPr/>
      <dgm:t>
        <a:bodyPr/>
        <a:lstStyle/>
        <a:p>
          <a:endParaRPr lang="en-IN"/>
        </a:p>
      </dgm:t>
    </dgm:pt>
    <dgm:pt modelId="{4BEE745D-E4D7-4C48-B705-95F06701A489}" type="sibTrans" cxnId="{BE9A182D-9D58-4EB0-A5BD-FB03EB2D220B}">
      <dgm:prSet/>
      <dgm:spPr/>
      <dgm:t>
        <a:bodyPr/>
        <a:lstStyle/>
        <a:p>
          <a:endParaRPr lang="en-IN"/>
        </a:p>
      </dgm:t>
    </dgm:pt>
    <dgm:pt modelId="{AABF0563-9EEE-4FA6-854B-6947C4112791}">
      <dgm:prSet phldrT="[Text]"/>
      <dgm:spPr/>
      <dgm:t>
        <a:bodyPr/>
        <a:lstStyle/>
        <a:p>
          <a:r>
            <a:rPr lang="en-IN"/>
            <a:t>No</a:t>
          </a:r>
        </a:p>
      </dgm:t>
    </dgm:pt>
    <dgm:pt modelId="{27718868-06F5-41FF-BB17-0B5784BDEBCC}" type="parTrans" cxnId="{788997D9-AC8A-4A63-A213-670743A08123}">
      <dgm:prSet/>
      <dgm:spPr/>
      <dgm:t>
        <a:bodyPr/>
        <a:lstStyle/>
        <a:p>
          <a:endParaRPr lang="en-IN"/>
        </a:p>
      </dgm:t>
    </dgm:pt>
    <dgm:pt modelId="{B1A6F74D-F220-4295-B71A-4531FAF9340E}" type="sibTrans" cxnId="{788997D9-AC8A-4A63-A213-670743A08123}">
      <dgm:prSet/>
      <dgm:spPr/>
      <dgm:t>
        <a:bodyPr/>
        <a:lstStyle/>
        <a:p>
          <a:endParaRPr lang="en-IN"/>
        </a:p>
      </dgm:t>
    </dgm:pt>
    <dgm:pt modelId="{872250B8-1A1F-43E3-B167-4B83E5FDF90E}">
      <dgm:prSet/>
      <dgm:spPr/>
      <dgm:t>
        <a:bodyPr/>
        <a:lstStyle/>
        <a:p>
          <a:r>
            <a:rPr lang="en-IN"/>
            <a:t>Discount Applicable</a:t>
          </a:r>
        </a:p>
      </dgm:t>
    </dgm:pt>
    <dgm:pt modelId="{3D5D907E-91DB-4864-BF1D-E2FEBEF549AA}" type="parTrans" cxnId="{AF02E3DF-C29E-49E5-9055-AA8CF6B855CD}">
      <dgm:prSet/>
      <dgm:spPr/>
      <dgm:t>
        <a:bodyPr/>
        <a:lstStyle/>
        <a:p>
          <a:endParaRPr lang="en-IN"/>
        </a:p>
      </dgm:t>
    </dgm:pt>
    <dgm:pt modelId="{D9E71177-F028-417F-9C88-DC5C5F8EC2A3}" type="sibTrans" cxnId="{AF02E3DF-C29E-49E5-9055-AA8CF6B855CD}">
      <dgm:prSet/>
      <dgm:spPr/>
      <dgm:t>
        <a:bodyPr/>
        <a:lstStyle/>
        <a:p>
          <a:endParaRPr lang="en-IN"/>
        </a:p>
      </dgm:t>
    </dgm:pt>
    <dgm:pt modelId="{6121B51C-6472-46DC-A267-5AA4A19B6FE5}">
      <dgm:prSet/>
      <dgm:spPr/>
      <dgm:t>
        <a:bodyPr/>
        <a:lstStyle/>
        <a:p>
          <a:r>
            <a:rPr lang="en-IN"/>
            <a:t>No Discount Applicable</a:t>
          </a:r>
        </a:p>
      </dgm:t>
    </dgm:pt>
    <dgm:pt modelId="{89371150-EE4E-4B63-A365-74551603D92B}" type="parTrans" cxnId="{604C8722-0F98-4B9F-A10F-9A754F357CC9}">
      <dgm:prSet/>
      <dgm:spPr/>
      <dgm:t>
        <a:bodyPr/>
        <a:lstStyle/>
        <a:p>
          <a:endParaRPr lang="en-IN"/>
        </a:p>
      </dgm:t>
    </dgm:pt>
    <dgm:pt modelId="{388B4152-7FF5-49CB-B879-C16F45237F2C}" type="sibTrans" cxnId="{604C8722-0F98-4B9F-A10F-9A754F357CC9}">
      <dgm:prSet/>
      <dgm:spPr/>
      <dgm:t>
        <a:bodyPr/>
        <a:lstStyle/>
        <a:p>
          <a:endParaRPr lang="en-IN"/>
        </a:p>
      </dgm:t>
    </dgm:pt>
    <dgm:pt modelId="{DC75BDBE-4B10-405A-A8FE-4CFDA71BDF52}" type="pres">
      <dgm:prSet presAssocID="{3B53B966-0A36-453D-B686-5DA29CE49D80}" presName="hierChild1" presStyleCnt="0">
        <dgm:presLayoutVars>
          <dgm:chPref val="1"/>
          <dgm:dir/>
          <dgm:animOne val="branch"/>
          <dgm:animLvl val="lvl"/>
          <dgm:resizeHandles/>
        </dgm:presLayoutVars>
      </dgm:prSet>
      <dgm:spPr/>
    </dgm:pt>
    <dgm:pt modelId="{45B58FB2-B2EB-404A-A34A-FBA8F4A7568C}" type="pres">
      <dgm:prSet presAssocID="{962DFE4C-EA77-439C-8BD5-AE1DBE89EAEE}" presName="hierRoot1" presStyleCnt="0"/>
      <dgm:spPr/>
    </dgm:pt>
    <dgm:pt modelId="{BEB70BF1-C071-4197-9C2C-BC72D87C05FB}" type="pres">
      <dgm:prSet presAssocID="{962DFE4C-EA77-439C-8BD5-AE1DBE89EAEE}" presName="composite" presStyleCnt="0"/>
      <dgm:spPr/>
    </dgm:pt>
    <dgm:pt modelId="{4FC9C475-DD75-411D-9B2F-B80662EE0F3E}" type="pres">
      <dgm:prSet presAssocID="{962DFE4C-EA77-439C-8BD5-AE1DBE89EAEE}" presName="background" presStyleLbl="node0" presStyleIdx="0" presStyleCnt="1"/>
      <dgm:spPr/>
    </dgm:pt>
    <dgm:pt modelId="{1E48A755-04AD-4435-993E-B9F9FCAC5F08}" type="pres">
      <dgm:prSet presAssocID="{962DFE4C-EA77-439C-8BD5-AE1DBE89EAEE}" presName="text" presStyleLbl="fgAcc0" presStyleIdx="0" presStyleCnt="1">
        <dgm:presLayoutVars>
          <dgm:chPref val="3"/>
        </dgm:presLayoutVars>
      </dgm:prSet>
      <dgm:spPr/>
    </dgm:pt>
    <dgm:pt modelId="{2E0AA9DF-6AAC-4C9C-AECF-92244B732AF6}" type="pres">
      <dgm:prSet presAssocID="{962DFE4C-EA77-439C-8BD5-AE1DBE89EAEE}" presName="hierChild2" presStyleCnt="0"/>
      <dgm:spPr/>
    </dgm:pt>
    <dgm:pt modelId="{F729FCA3-4759-41D3-85EA-94899EC68C3B}" type="pres">
      <dgm:prSet presAssocID="{6DF465A8-E48B-4CCE-84CC-63F2C3945597}" presName="Name10" presStyleLbl="parChTrans1D2" presStyleIdx="0" presStyleCnt="2"/>
      <dgm:spPr/>
    </dgm:pt>
    <dgm:pt modelId="{A49E3BD1-F6AD-4C2C-87C4-7432417D8FC1}" type="pres">
      <dgm:prSet presAssocID="{6702EB23-CFFA-418E-AB2B-C65F36CE091D}" presName="hierRoot2" presStyleCnt="0"/>
      <dgm:spPr/>
    </dgm:pt>
    <dgm:pt modelId="{03CB4B25-7AD5-4517-B1D3-901A4AC05F85}" type="pres">
      <dgm:prSet presAssocID="{6702EB23-CFFA-418E-AB2B-C65F36CE091D}" presName="composite2" presStyleCnt="0"/>
      <dgm:spPr/>
    </dgm:pt>
    <dgm:pt modelId="{FED90F7F-7B37-4A2F-8528-2A51A5753919}" type="pres">
      <dgm:prSet presAssocID="{6702EB23-CFFA-418E-AB2B-C65F36CE091D}" presName="background2" presStyleLbl="node2" presStyleIdx="0" presStyleCnt="2"/>
      <dgm:spPr/>
    </dgm:pt>
    <dgm:pt modelId="{7916E622-ACFA-4D2E-A8D8-72041A4FB950}" type="pres">
      <dgm:prSet presAssocID="{6702EB23-CFFA-418E-AB2B-C65F36CE091D}" presName="text2" presStyleLbl="fgAcc2" presStyleIdx="0" presStyleCnt="2">
        <dgm:presLayoutVars>
          <dgm:chPref val="3"/>
        </dgm:presLayoutVars>
      </dgm:prSet>
      <dgm:spPr/>
    </dgm:pt>
    <dgm:pt modelId="{8F8686C3-6181-4EA6-AD31-240BD06F48FE}" type="pres">
      <dgm:prSet presAssocID="{6702EB23-CFFA-418E-AB2B-C65F36CE091D}" presName="hierChild3" presStyleCnt="0"/>
      <dgm:spPr/>
    </dgm:pt>
    <dgm:pt modelId="{E898A030-3F3C-44E8-A021-4DDDCA65F458}" type="pres">
      <dgm:prSet presAssocID="{EBE5A4E6-7D04-4FE1-8342-314E13E9291A}" presName="Name17" presStyleLbl="parChTrans1D3" presStyleIdx="0" presStyleCnt="2"/>
      <dgm:spPr/>
    </dgm:pt>
    <dgm:pt modelId="{3E6BFA5F-A40C-4C16-BFBA-26A11079187C}" type="pres">
      <dgm:prSet presAssocID="{077DA3DB-6ED2-4462-8785-C62EFF8FF5B8}" presName="hierRoot3" presStyleCnt="0"/>
      <dgm:spPr/>
    </dgm:pt>
    <dgm:pt modelId="{B6271B69-4D89-4B49-BB8F-2039C6DDF18C}" type="pres">
      <dgm:prSet presAssocID="{077DA3DB-6ED2-4462-8785-C62EFF8FF5B8}" presName="composite3" presStyleCnt="0"/>
      <dgm:spPr/>
    </dgm:pt>
    <dgm:pt modelId="{02796A30-DA00-4173-AA50-CF71AEE750E3}" type="pres">
      <dgm:prSet presAssocID="{077DA3DB-6ED2-4462-8785-C62EFF8FF5B8}" presName="background3" presStyleLbl="node3" presStyleIdx="0" presStyleCnt="2"/>
      <dgm:spPr/>
    </dgm:pt>
    <dgm:pt modelId="{2D800A29-CEC3-4E39-8FD3-3F4902E4791C}" type="pres">
      <dgm:prSet presAssocID="{077DA3DB-6ED2-4462-8785-C62EFF8FF5B8}" presName="text3" presStyleLbl="fgAcc3" presStyleIdx="0" presStyleCnt="2">
        <dgm:presLayoutVars>
          <dgm:chPref val="3"/>
        </dgm:presLayoutVars>
      </dgm:prSet>
      <dgm:spPr/>
    </dgm:pt>
    <dgm:pt modelId="{CE5E38E7-36BB-4DDD-91FD-ACBE6B3DC247}" type="pres">
      <dgm:prSet presAssocID="{077DA3DB-6ED2-4462-8785-C62EFF8FF5B8}" presName="hierChild4" presStyleCnt="0"/>
      <dgm:spPr/>
    </dgm:pt>
    <dgm:pt modelId="{95AA2FCF-1E7C-4406-9AC6-DBCEB69A28E4}" type="pres">
      <dgm:prSet presAssocID="{3D5D907E-91DB-4864-BF1D-E2FEBEF549AA}" presName="Name23" presStyleLbl="parChTrans1D4" presStyleIdx="0" presStyleCnt="2"/>
      <dgm:spPr/>
    </dgm:pt>
    <dgm:pt modelId="{A17397B2-9672-4231-8DC7-90E382736B68}" type="pres">
      <dgm:prSet presAssocID="{872250B8-1A1F-43E3-B167-4B83E5FDF90E}" presName="hierRoot4" presStyleCnt="0"/>
      <dgm:spPr/>
    </dgm:pt>
    <dgm:pt modelId="{9B5463BD-9315-43CE-AC5B-64D885674700}" type="pres">
      <dgm:prSet presAssocID="{872250B8-1A1F-43E3-B167-4B83E5FDF90E}" presName="composite4" presStyleCnt="0"/>
      <dgm:spPr/>
    </dgm:pt>
    <dgm:pt modelId="{11365718-2324-4D1E-A423-1ADBBAFF0A04}" type="pres">
      <dgm:prSet presAssocID="{872250B8-1A1F-43E3-B167-4B83E5FDF90E}" presName="background4" presStyleLbl="node4" presStyleIdx="0" presStyleCnt="2"/>
      <dgm:spPr/>
    </dgm:pt>
    <dgm:pt modelId="{966B58F6-EFDE-46B4-AA84-CB263ED6A5D8}" type="pres">
      <dgm:prSet presAssocID="{872250B8-1A1F-43E3-B167-4B83E5FDF90E}" presName="text4" presStyleLbl="fgAcc4" presStyleIdx="0" presStyleCnt="2">
        <dgm:presLayoutVars>
          <dgm:chPref val="3"/>
        </dgm:presLayoutVars>
      </dgm:prSet>
      <dgm:spPr/>
    </dgm:pt>
    <dgm:pt modelId="{5AC24B13-E3C4-46EB-82D8-456BFB28421A}" type="pres">
      <dgm:prSet presAssocID="{872250B8-1A1F-43E3-B167-4B83E5FDF90E}" presName="hierChild5" presStyleCnt="0"/>
      <dgm:spPr/>
    </dgm:pt>
    <dgm:pt modelId="{A0E888A1-C9E1-48AA-88CB-D02A86E2F5BC}" type="pres">
      <dgm:prSet presAssocID="{0BC58012-15A1-49E0-999B-7DCF4E6AEA2A}" presName="Name10" presStyleLbl="parChTrans1D2" presStyleIdx="1" presStyleCnt="2"/>
      <dgm:spPr/>
    </dgm:pt>
    <dgm:pt modelId="{387EC07C-83FA-4E2A-A2FF-A3D2B969F50B}" type="pres">
      <dgm:prSet presAssocID="{85C4182F-48BE-4D41-A7CF-7603BF7D6F87}" presName="hierRoot2" presStyleCnt="0"/>
      <dgm:spPr/>
    </dgm:pt>
    <dgm:pt modelId="{E0925C36-1727-44AB-A212-E7E72DD35872}" type="pres">
      <dgm:prSet presAssocID="{85C4182F-48BE-4D41-A7CF-7603BF7D6F87}" presName="composite2" presStyleCnt="0"/>
      <dgm:spPr/>
    </dgm:pt>
    <dgm:pt modelId="{597DA438-DE41-4980-AD8A-AF98B9CFB740}" type="pres">
      <dgm:prSet presAssocID="{85C4182F-48BE-4D41-A7CF-7603BF7D6F87}" presName="background2" presStyleLbl="node2" presStyleIdx="1" presStyleCnt="2"/>
      <dgm:spPr/>
    </dgm:pt>
    <dgm:pt modelId="{63FA3529-9BE3-4010-A37F-49292C200F99}" type="pres">
      <dgm:prSet presAssocID="{85C4182F-48BE-4D41-A7CF-7603BF7D6F87}" presName="text2" presStyleLbl="fgAcc2" presStyleIdx="1" presStyleCnt="2">
        <dgm:presLayoutVars>
          <dgm:chPref val="3"/>
        </dgm:presLayoutVars>
      </dgm:prSet>
      <dgm:spPr/>
    </dgm:pt>
    <dgm:pt modelId="{8C2CDF53-46D2-4632-B17A-80BC3F6F98DC}" type="pres">
      <dgm:prSet presAssocID="{85C4182F-48BE-4D41-A7CF-7603BF7D6F87}" presName="hierChild3" presStyleCnt="0"/>
      <dgm:spPr/>
    </dgm:pt>
    <dgm:pt modelId="{3EBF6422-FB5C-4478-8E30-D771B4BF5CFD}" type="pres">
      <dgm:prSet presAssocID="{27718868-06F5-41FF-BB17-0B5784BDEBCC}" presName="Name17" presStyleLbl="parChTrans1D3" presStyleIdx="1" presStyleCnt="2"/>
      <dgm:spPr/>
    </dgm:pt>
    <dgm:pt modelId="{58987772-0632-43B9-B233-7A2BAC032121}" type="pres">
      <dgm:prSet presAssocID="{AABF0563-9EEE-4FA6-854B-6947C4112791}" presName="hierRoot3" presStyleCnt="0"/>
      <dgm:spPr/>
    </dgm:pt>
    <dgm:pt modelId="{CB8F64BD-7426-4BCB-A260-DD247AFDBA64}" type="pres">
      <dgm:prSet presAssocID="{AABF0563-9EEE-4FA6-854B-6947C4112791}" presName="composite3" presStyleCnt="0"/>
      <dgm:spPr/>
    </dgm:pt>
    <dgm:pt modelId="{5B8553CC-A98E-4FD2-83A5-D112E613C2E1}" type="pres">
      <dgm:prSet presAssocID="{AABF0563-9EEE-4FA6-854B-6947C4112791}" presName="background3" presStyleLbl="node3" presStyleIdx="1" presStyleCnt="2"/>
      <dgm:spPr/>
    </dgm:pt>
    <dgm:pt modelId="{31A26054-F60B-45A0-B3CF-768C0B88B077}" type="pres">
      <dgm:prSet presAssocID="{AABF0563-9EEE-4FA6-854B-6947C4112791}" presName="text3" presStyleLbl="fgAcc3" presStyleIdx="1" presStyleCnt="2">
        <dgm:presLayoutVars>
          <dgm:chPref val="3"/>
        </dgm:presLayoutVars>
      </dgm:prSet>
      <dgm:spPr/>
    </dgm:pt>
    <dgm:pt modelId="{8D47D69A-914C-4D29-9E1E-AD0C8EE5459C}" type="pres">
      <dgm:prSet presAssocID="{AABF0563-9EEE-4FA6-854B-6947C4112791}" presName="hierChild4" presStyleCnt="0"/>
      <dgm:spPr/>
    </dgm:pt>
    <dgm:pt modelId="{D45CD951-67CB-479C-B72E-D054DEE27101}" type="pres">
      <dgm:prSet presAssocID="{89371150-EE4E-4B63-A365-74551603D92B}" presName="Name23" presStyleLbl="parChTrans1D4" presStyleIdx="1" presStyleCnt="2"/>
      <dgm:spPr/>
    </dgm:pt>
    <dgm:pt modelId="{0ED610F2-FCDD-4F63-9940-8FADCAF65685}" type="pres">
      <dgm:prSet presAssocID="{6121B51C-6472-46DC-A267-5AA4A19B6FE5}" presName="hierRoot4" presStyleCnt="0"/>
      <dgm:spPr/>
    </dgm:pt>
    <dgm:pt modelId="{9DAC8DD2-7315-4C9D-B941-1DC93B0ABB09}" type="pres">
      <dgm:prSet presAssocID="{6121B51C-6472-46DC-A267-5AA4A19B6FE5}" presName="composite4" presStyleCnt="0"/>
      <dgm:spPr/>
    </dgm:pt>
    <dgm:pt modelId="{9D8F336D-5E15-4DA1-B649-EE4E2D81E5D2}" type="pres">
      <dgm:prSet presAssocID="{6121B51C-6472-46DC-A267-5AA4A19B6FE5}" presName="background4" presStyleLbl="node4" presStyleIdx="1" presStyleCnt="2"/>
      <dgm:spPr/>
    </dgm:pt>
    <dgm:pt modelId="{E98FC5B9-4D4E-4EE1-8467-574F0B518862}" type="pres">
      <dgm:prSet presAssocID="{6121B51C-6472-46DC-A267-5AA4A19B6FE5}" presName="text4" presStyleLbl="fgAcc4" presStyleIdx="1" presStyleCnt="2">
        <dgm:presLayoutVars>
          <dgm:chPref val="3"/>
        </dgm:presLayoutVars>
      </dgm:prSet>
      <dgm:spPr/>
    </dgm:pt>
    <dgm:pt modelId="{3918F0BC-E88F-49BE-A746-F9655D105901}" type="pres">
      <dgm:prSet presAssocID="{6121B51C-6472-46DC-A267-5AA4A19B6FE5}" presName="hierChild5" presStyleCnt="0"/>
      <dgm:spPr/>
    </dgm:pt>
  </dgm:ptLst>
  <dgm:cxnLst>
    <dgm:cxn modelId="{12870C00-1F05-4F92-A5FF-650290FD211C}" type="presOf" srcId="{89371150-EE4E-4B63-A365-74551603D92B}" destId="{D45CD951-67CB-479C-B72E-D054DEE27101}" srcOrd="0" destOrd="0" presId="urn:microsoft.com/office/officeart/2005/8/layout/hierarchy1"/>
    <dgm:cxn modelId="{604C8722-0F98-4B9F-A10F-9A754F357CC9}" srcId="{AABF0563-9EEE-4FA6-854B-6947C4112791}" destId="{6121B51C-6472-46DC-A267-5AA4A19B6FE5}" srcOrd="0" destOrd="0" parTransId="{89371150-EE4E-4B63-A365-74551603D92B}" sibTransId="{388B4152-7FF5-49CB-B879-C16F45237F2C}"/>
    <dgm:cxn modelId="{8B33CC24-2FC6-4523-9259-36164A23E15F}" type="presOf" srcId="{3D5D907E-91DB-4864-BF1D-E2FEBEF549AA}" destId="{95AA2FCF-1E7C-4406-9AC6-DBCEB69A28E4}" srcOrd="0" destOrd="0" presId="urn:microsoft.com/office/officeart/2005/8/layout/hierarchy1"/>
    <dgm:cxn modelId="{617A0725-3708-456D-8196-6903265441EA}" type="presOf" srcId="{6DF465A8-E48B-4CCE-84CC-63F2C3945597}" destId="{F729FCA3-4759-41D3-85EA-94899EC68C3B}" srcOrd="0" destOrd="0" presId="urn:microsoft.com/office/officeart/2005/8/layout/hierarchy1"/>
    <dgm:cxn modelId="{BE9A182D-9D58-4EB0-A5BD-FB03EB2D220B}" srcId="{962DFE4C-EA77-439C-8BD5-AE1DBE89EAEE}" destId="{85C4182F-48BE-4D41-A7CF-7603BF7D6F87}" srcOrd="1" destOrd="0" parTransId="{0BC58012-15A1-49E0-999B-7DCF4E6AEA2A}" sibTransId="{4BEE745D-E4D7-4C48-B705-95F06701A489}"/>
    <dgm:cxn modelId="{07F5ED2F-F2AA-454F-BA2C-ECEE64C5CD8C}" type="presOf" srcId="{6702EB23-CFFA-418E-AB2B-C65F36CE091D}" destId="{7916E622-ACFA-4D2E-A8D8-72041A4FB950}" srcOrd="0" destOrd="0" presId="urn:microsoft.com/office/officeart/2005/8/layout/hierarchy1"/>
    <dgm:cxn modelId="{2E1B1730-C803-4BC0-8DFE-5606DF5EC195}" type="presOf" srcId="{85C4182F-48BE-4D41-A7CF-7603BF7D6F87}" destId="{63FA3529-9BE3-4010-A37F-49292C200F99}" srcOrd="0" destOrd="0" presId="urn:microsoft.com/office/officeart/2005/8/layout/hierarchy1"/>
    <dgm:cxn modelId="{34090231-14FB-44F2-AA1A-2610CE4CCE9E}" type="presOf" srcId="{AABF0563-9EEE-4FA6-854B-6947C4112791}" destId="{31A26054-F60B-45A0-B3CF-768C0B88B077}" srcOrd="0" destOrd="0" presId="urn:microsoft.com/office/officeart/2005/8/layout/hierarchy1"/>
    <dgm:cxn modelId="{2FD06B36-D9A2-440F-96F3-4DCF501EDA49}" type="presOf" srcId="{3B53B966-0A36-453D-B686-5DA29CE49D80}" destId="{DC75BDBE-4B10-405A-A8FE-4CFDA71BDF52}" srcOrd="0" destOrd="0" presId="urn:microsoft.com/office/officeart/2005/8/layout/hierarchy1"/>
    <dgm:cxn modelId="{65C75962-4249-406F-8885-691FE9A10437}" type="presOf" srcId="{077DA3DB-6ED2-4462-8785-C62EFF8FF5B8}" destId="{2D800A29-CEC3-4E39-8FD3-3F4902E4791C}" srcOrd="0" destOrd="0" presId="urn:microsoft.com/office/officeart/2005/8/layout/hierarchy1"/>
    <dgm:cxn modelId="{22AB0B6D-587F-4D31-B0F7-540D8C0A2EE6}" type="presOf" srcId="{EBE5A4E6-7D04-4FE1-8342-314E13E9291A}" destId="{E898A030-3F3C-44E8-A021-4DDDCA65F458}" srcOrd="0" destOrd="0" presId="urn:microsoft.com/office/officeart/2005/8/layout/hierarchy1"/>
    <dgm:cxn modelId="{3C9E014F-E7F6-4687-91B1-D0740C633DBA}" srcId="{3B53B966-0A36-453D-B686-5DA29CE49D80}" destId="{962DFE4C-EA77-439C-8BD5-AE1DBE89EAEE}" srcOrd="0" destOrd="0" parTransId="{C7811DE3-35AA-4F4C-8086-7D1177004ADC}" sibTransId="{71D4D16E-988E-4174-B0D8-8FB96492047D}"/>
    <dgm:cxn modelId="{5DE3037B-A631-4C2B-A258-31CA575ECEF1}" srcId="{962DFE4C-EA77-439C-8BD5-AE1DBE89EAEE}" destId="{6702EB23-CFFA-418E-AB2B-C65F36CE091D}" srcOrd="0" destOrd="0" parTransId="{6DF465A8-E48B-4CCE-84CC-63F2C3945597}" sibTransId="{8BB2B9AB-1DA2-46C0-BCD5-E025CE9EFECE}"/>
    <dgm:cxn modelId="{CFFBA284-DEEA-4DCA-AE80-FBC61D6421D6}" type="presOf" srcId="{0BC58012-15A1-49E0-999B-7DCF4E6AEA2A}" destId="{A0E888A1-C9E1-48AA-88CB-D02A86E2F5BC}" srcOrd="0" destOrd="0" presId="urn:microsoft.com/office/officeart/2005/8/layout/hierarchy1"/>
    <dgm:cxn modelId="{9CC31786-41A3-4E81-B072-F82290A6ADCB}" srcId="{6702EB23-CFFA-418E-AB2B-C65F36CE091D}" destId="{077DA3DB-6ED2-4462-8785-C62EFF8FF5B8}" srcOrd="0" destOrd="0" parTransId="{EBE5A4E6-7D04-4FE1-8342-314E13E9291A}" sibTransId="{86ABD072-4B87-4CC1-9D1A-BF6316E92DB2}"/>
    <dgm:cxn modelId="{35398ACD-2B54-4426-90A3-F16DD481B0A6}" type="presOf" srcId="{872250B8-1A1F-43E3-B167-4B83E5FDF90E}" destId="{966B58F6-EFDE-46B4-AA84-CB263ED6A5D8}" srcOrd="0" destOrd="0" presId="urn:microsoft.com/office/officeart/2005/8/layout/hierarchy1"/>
    <dgm:cxn modelId="{FAA9A4D0-47D3-4373-844F-04F45088FB74}" type="presOf" srcId="{962DFE4C-EA77-439C-8BD5-AE1DBE89EAEE}" destId="{1E48A755-04AD-4435-993E-B9F9FCAC5F08}" srcOrd="0" destOrd="0" presId="urn:microsoft.com/office/officeart/2005/8/layout/hierarchy1"/>
    <dgm:cxn modelId="{A63758D7-14B6-418D-8B99-661C51605637}" type="presOf" srcId="{27718868-06F5-41FF-BB17-0B5784BDEBCC}" destId="{3EBF6422-FB5C-4478-8E30-D771B4BF5CFD}" srcOrd="0" destOrd="0" presId="urn:microsoft.com/office/officeart/2005/8/layout/hierarchy1"/>
    <dgm:cxn modelId="{788997D9-AC8A-4A63-A213-670743A08123}" srcId="{85C4182F-48BE-4D41-A7CF-7603BF7D6F87}" destId="{AABF0563-9EEE-4FA6-854B-6947C4112791}" srcOrd="0" destOrd="0" parTransId="{27718868-06F5-41FF-BB17-0B5784BDEBCC}" sibTransId="{B1A6F74D-F220-4295-B71A-4531FAF9340E}"/>
    <dgm:cxn modelId="{AF02E3DF-C29E-49E5-9055-AA8CF6B855CD}" srcId="{077DA3DB-6ED2-4462-8785-C62EFF8FF5B8}" destId="{872250B8-1A1F-43E3-B167-4B83E5FDF90E}" srcOrd="0" destOrd="0" parTransId="{3D5D907E-91DB-4864-BF1D-E2FEBEF549AA}" sibTransId="{D9E71177-F028-417F-9C88-DC5C5F8EC2A3}"/>
    <dgm:cxn modelId="{63FC8DF0-9342-4A24-9FE3-8F21B48AD898}" type="presOf" srcId="{6121B51C-6472-46DC-A267-5AA4A19B6FE5}" destId="{E98FC5B9-4D4E-4EE1-8467-574F0B518862}" srcOrd="0" destOrd="0" presId="urn:microsoft.com/office/officeart/2005/8/layout/hierarchy1"/>
    <dgm:cxn modelId="{D9AF5993-417A-4992-9A6C-D399F2573C43}" type="presParOf" srcId="{DC75BDBE-4B10-405A-A8FE-4CFDA71BDF52}" destId="{45B58FB2-B2EB-404A-A34A-FBA8F4A7568C}" srcOrd="0" destOrd="0" presId="urn:microsoft.com/office/officeart/2005/8/layout/hierarchy1"/>
    <dgm:cxn modelId="{0F5FB01C-C560-423A-86D7-7354984AF3F3}" type="presParOf" srcId="{45B58FB2-B2EB-404A-A34A-FBA8F4A7568C}" destId="{BEB70BF1-C071-4197-9C2C-BC72D87C05FB}" srcOrd="0" destOrd="0" presId="urn:microsoft.com/office/officeart/2005/8/layout/hierarchy1"/>
    <dgm:cxn modelId="{0D8C720A-7618-4D57-B47E-F180B65389EA}" type="presParOf" srcId="{BEB70BF1-C071-4197-9C2C-BC72D87C05FB}" destId="{4FC9C475-DD75-411D-9B2F-B80662EE0F3E}" srcOrd="0" destOrd="0" presId="urn:microsoft.com/office/officeart/2005/8/layout/hierarchy1"/>
    <dgm:cxn modelId="{36C69175-EE93-4D8B-A15E-BCDD6CD9F4D0}" type="presParOf" srcId="{BEB70BF1-C071-4197-9C2C-BC72D87C05FB}" destId="{1E48A755-04AD-4435-993E-B9F9FCAC5F08}" srcOrd="1" destOrd="0" presId="urn:microsoft.com/office/officeart/2005/8/layout/hierarchy1"/>
    <dgm:cxn modelId="{8A229699-86C7-4B3E-B69E-2E85CB4E8A2B}" type="presParOf" srcId="{45B58FB2-B2EB-404A-A34A-FBA8F4A7568C}" destId="{2E0AA9DF-6AAC-4C9C-AECF-92244B732AF6}" srcOrd="1" destOrd="0" presId="urn:microsoft.com/office/officeart/2005/8/layout/hierarchy1"/>
    <dgm:cxn modelId="{9DEEA85D-4D61-437D-BAF6-5312B755A811}" type="presParOf" srcId="{2E0AA9DF-6AAC-4C9C-AECF-92244B732AF6}" destId="{F729FCA3-4759-41D3-85EA-94899EC68C3B}" srcOrd="0" destOrd="0" presId="urn:microsoft.com/office/officeart/2005/8/layout/hierarchy1"/>
    <dgm:cxn modelId="{1317EECF-8B3A-4573-B43A-0DE02D5F7390}" type="presParOf" srcId="{2E0AA9DF-6AAC-4C9C-AECF-92244B732AF6}" destId="{A49E3BD1-F6AD-4C2C-87C4-7432417D8FC1}" srcOrd="1" destOrd="0" presId="urn:microsoft.com/office/officeart/2005/8/layout/hierarchy1"/>
    <dgm:cxn modelId="{D96EE852-2AD9-4A32-A535-B2B3A341CD7E}" type="presParOf" srcId="{A49E3BD1-F6AD-4C2C-87C4-7432417D8FC1}" destId="{03CB4B25-7AD5-4517-B1D3-901A4AC05F85}" srcOrd="0" destOrd="0" presId="urn:microsoft.com/office/officeart/2005/8/layout/hierarchy1"/>
    <dgm:cxn modelId="{ECB1C81D-9BBE-40F8-976C-10DA26882EF3}" type="presParOf" srcId="{03CB4B25-7AD5-4517-B1D3-901A4AC05F85}" destId="{FED90F7F-7B37-4A2F-8528-2A51A5753919}" srcOrd="0" destOrd="0" presId="urn:microsoft.com/office/officeart/2005/8/layout/hierarchy1"/>
    <dgm:cxn modelId="{5C0C14E7-C558-4868-A11E-B65DFEC8405A}" type="presParOf" srcId="{03CB4B25-7AD5-4517-B1D3-901A4AC05F85}" destId="{7916E622-ACFA-4D2E-A8D8-72041A4FB950}" srcOrd="1" destOrd="0" presId="urn:microsoft.com/office/officeart/2005/8/layout/hierarchy1"/>
    <dgm:cxn modelId="{FE954C7C-1F14-48A7-B752-FAA916430465}" type="presParOf" srcId="{A49E3BD1-F6AD-4C2C-87C4-7432417D8FC1}" destId="{8F8686C3-6181-4EA6-AD31-240BD06F48FE}" srcOrd="1" destOrd="0" presId="urn:microsoft.com/office/officeart/2005/8/layout/hierarchy1"/>
    <dgm:cxn modelId="{90EA176C-6345-4CBF-9C28-750F808801A0}" type="presParOf" srcId="{8F8686C3-6181-4EA6-AD31-240BD06F48FE}" destId="{E898A030-3F3C-44E8-A021-4DDDCA65F458}" srcOrd="0" destOrd="0" presId="urn:microsoft.com/office/officeart/2005/8/layout/hierarchy1"/>
    <dgm:cxn modelId="{B0A06C4A-B9FC-4043-B10D-B1852A2373EB}" type="presParOf" srcId="{8F8686C3-6181-4EA6-AD31-240BD06F48FE}" destId="{3E6BFA5F-A40C-4C16-BFBA-26A11079187C}" srcOrd="1" destOrd="0" presId="urn:microsoft.com/office/officeart/2005/8/layout/hierarchy1"/>
    <dgm:cxn modelId="{806F54C8-5CA2-4828-A9A0-60C94968AD9E}" type="presParOf" srcId="{3E6BFA5F-A40C-4C16-BFBA-26A11079187C}" destId="{B6271B69-4D89-4B49-BB8F-2039C6DDF18C}" srcOrd="0" destOrd="0" presId="urn:microsoft.com/office/officeart/2005/8/layout/hierarchy1"/>
    <dgm:cxn modelId="{A351A53A-59F6-408E-B68F-3497D5E4CBE6}" type="presParOf" srcId="{B6271B69-4D89-4B49-BB8F-2039C6DDF18C}" destId="{02796A30-DA00-4173-AA50-CF71AEE750E3}" srcOrd="0" destOrd="0" presId="urn:microsoft.com/office/officeart/2005/8/layout/hierarchy1"/>
    <dgm:cxn modelId="{9720D1CD-9F12-4A20-A4DB-7B714DE1FB09}" type="presParOf" srcId="{B6271B69-4D89-4B49-BB8F-2039C6DDF18C}" destId="{2D800A29-CEC3-4E39-8FD3-3F4902E4791C}" srcOrd="1" destOrd="0" presId="urn:microsoft.com/office/officeart/2005/8/layout/hierarchy1"/>
    <dgm:cxn modelId="{E438FECD-971B-4550-977C-58CEE90E72DC}" type="presParOf" srcId="{3E6BFA5F-A40C-4C16-BFBA-26A11079187C}" destId="{CE5E38E7-36BB-4DDD-91FD-ACBE6B3DC247}" srcOrd="1" destOrd="0" presId="urn:microsoft.com/office/officeart/2005/8/layout/hierarchy1"/>
    <dgm:cxn modelId="{F2F04AE4-D026-447E-B600-3F3F2424E5D1}" type="presParOf" srcId="{CE5E38E7-36BB-4DDD-91FD-ACBE6B3DC247}" destId="{95AA2FCF-1E7C-4406-9AC6-DBCEB69A28E4}" srcOrd="0" destOrd="0" presId="urn:microsoft.com/office/officeart/2005/8/layout/hierarchy1"/>
    <dgm:cxn modelId="{90768671-3BF3-4D60-B789-467EC564D841}" type="presParOf" srcId="{CE5E38E7-36BB-4DDD-91FD-ACBE6B3DC247}" destId="{A17397B2-9672-4231-8DC7-90E382736B68}" srcOrd="1" destOrd="0" presId="urn:microsoft.com/office/officeart/2005/8/layout/hierarchy1"/>
    <dgm:cxn modelId="{A9321114-1BB4-49A2-A78F-34657E9BCFD7}" type="presParOf" srcId="{A17397B2-9672-4231-8DC7-90E382736B68}" destId="{9B5463BD-9315-43CE-AC5B-64D885674700}" srcOrd="0" destOrd="0" presId="urn:microsoft.com/office/officeart/2005/8/layout/hierarchy1"/>
    <dgm:cxn modelId="{F26DAB31-9A37-4B1F-837E-50D86363BFB2}" type="presParOf" srcId="{9B5463BD-9315-43CE-AC5B-64D885674700}" destId="{11365718-2324-4D1E-A423-1ADBBAFF0A04}" srcOrd="0" destOrd="0" presId="urn:microsoft.com/office/officeart/2005/8/layout/hierarchy1"/>
    <dgm:cxn modelId="{78811884-3C44-45F7-8008-4D59276C86A6}" type="presParOf" srcId="{9B5463BD-9315-43CE-AC5B-64D885674700}" destId="{966B58F6-EFDE-46B4-AA84-CB263ED6A5D8}" srcOrd="1" destOrd="0" presId="urn:microsoft.com/office/officeart/2005/8/layout/hierarchy1"/>
    <dgm:cxn modelId="{D19244C1-C137-4A97-BC78-4AC3473FEFFA}" type="presParOf" srcId="{A17397B2-9672-4231-8DC7-90E382736B68}" destId="{5AC24B13-E3C4-46EB-82D8-456BFB28421A}" srcOrd="1" destOrd="0" presId="urn:microsoft.com/office/officeart/2005/8/layout/hierarchy1"/>
    <dgm:cxn modelId="{A0BEFC6C-8B7C-4223-9711-F9CEBE56BD3B}" type="presParOf" srcId="{2E0AA9DF-6AAC-4C9C-AECF-92244B732AF6}" destId="{A0E888A1-C9E1-48AA-88CB-D02A86E2F5BC}" srcOrd="2" destOrd="0" presId="urn:microsoft.com/office/officeart/2005/8/layout/hierarchy1"/>
    <dgm:cxn modelId="{F98BB7CC-3B29-4744-BCCA-029A9DF81E09}" type="presParOf" srcId="{2E0AA9DF-6AAC-4C9C-AECF-92244B732AF6}" destId="{387EC07C-83FA-4E2A-A2FF-A3D2B969F50B}" srcOrd="3" destOrd="0" presId="urn:microsoft.com/office/officeart/2005/8/layout/hierarchy1"/>
    <dgm:cxn modelId="{CADD7A87-EB6C-4C40-89A1-5295221C9ED9}" type="presParOf" srcId="{387EC07C-83FA-4E2A-A2FF-A3D2B969F50B}" destId="{E0925C36-1727-44AB-A212-E7E72DD35872}" srcOrd="0" destOrd="0" presId="urn:microsoft.com/office/officeart/2005/8/layout/hierarchy1"/>
    <dgm:cxn modelId="{7A62EBF1-6004-4BDB-A0A9-04C910C20F83}" type="presParOf" srcId="{E0925C36-1727-44AB-A212-E7E72DD35872}" destId="{597DA438-DE41-4980-AD8A-AF98B9CFB740}" srcOrd="0" destOrd="0" presId="urn:microsoft.com/office/officeart/2005/8/layout/hierarchy1"/>
    <dgm:cxn modelId="{A134C7CF-BB9A-437C-8BA8-97AB1DB56F6C}" type="presParOf" srcId="{E0925C36-1727-44AB-A212-E7E72DD35872}" destId="{63FA3529-9BE3-4010-A37F-49292C200F99}" srcOrd="1" destOrd="0" presId="urn:microsoft.com/office/officeart/2005/8/layout/hierarchy1"/>
    <dgm:cxn modelId="{972E11E4-8651-4B18-BFB3-AE6828706631}" type="presParOf" srcId="{387EC07C-83FA-4E2A-A2FF-A3D2B969F50B}" destId="{8C2CDF53-46D2-4632-B17A-80BC3F6F98DC}" srcOrd="1" destOrd="0" presId="urn:microsoft.com/office/officeart/2005/8/layout/hierarchy1"/>
    <dgm:cxn modelId="{6B58879C-1C74-417B-88BF-DBE6392CFFDC}" type="presParOf" srcId="{8C2CDF53-46D2-4632-B17A-80BC3F6F98DC}" destId="{3EBF6422-FB5C-4478-8E30-D771B4BF5CFD}" srcOrd="0" destOrd="0" presId="urn:microsoft.com/office/officeart/2005/8/layout/hierarchy1"/>
    <dgm:cxn modelId="{81DF1732-219B-4607-9A83-70F300EB6754}" type="presParOf" srcId="{8C2CDF53-46D2-4632-B17A-80BC3F6F98DC}" destId="{58987772-0632-43B9-B233-7A2BAC032121}" srcOrd="1" destOrd="0" presId="urn:microsoft.com/office/officeart/2005/8/layout/hierarchy1"/>
    <dgm:cxn modelId="{6C7DD694-0B61-4BA0-A15B-255B06A23210}" type="presParOf" srcId="{58987772-0632-43B9-B233-7A2BAC032121}" destId="{CB8F64BD-7426-4BCB-A260-DD247AFDBA64}" srcOrd="0" destOrd="0" presId="urn:microsoft.com/office/officeart/2005/8/layout/hierarchy1"/>
    <dgm:cxn modelId="{42DAF0DE-FFB9-4B3D-9A76-4BE83D6E062B}" type="presParOf" srcId="{CB8F64BD-7426-4BCB-A260-DD247AFDBA64}" destId="{5B8553CC-A98E-4FD2-83A5-D112E613C2E1}" srcOrd="0" destOrd="0" presId="urn:microsoft.com/office/officeart/2005/8/layout/hierarchy1"/>
    <dgm:cxn modelId="{04F5CFF0-C7D7-4EEA-81CC-343F0D07B113}" type="presParOf" srcId="{CB8F64BD-7426-4BCB-A260-DD247AFDBA64}" destId="{31A26054-F60B-45A0-B3CF-768C0B88B077}" srcOrd="1" destOrd="0" presId="urn:microsoft.com/office/officeart/2005/8/layout/hierarchy1"/>
    <dgm:cxn modelId="{5DB3F892-777A-4D3B-9FF9-65BFC371D608}" type="presParOf" srcId="{58987772-0632-43B9-B233-7A2BAC032121}" destId="{8D47D69A-914C-4D29-9E1E-AD0C8EE5459C}" srcOrd="1" destOrd="0" presId="urn:microsoft.com/office/officeart/2005/8/layout/hierarchy1"/>
    <dgm:cxn modelId="{6CE4D20B-02EE-428B-A3DD-DA8CECF8B302}" type="presParOf" srcId="{8D47D69A-914C-4D29-9E1E-AD0C8EE5459C}" destId="{D45CD951-67CB-479C-B72E-D054DEE27101}" srcOrd="0" destOrd="0" presId="urn:microsoft.com/office/officeart/2005/8/layout/hierarchy1"/>
    <dgm:cxn modelId="{40DD54F0-45AF-4FC5-BB3B-B077C5226B0C}" type="presParOf" srcId="{8D47D69A-914C-4D29-9E1E-AD0C8EE5459C}" destId="{0ED610F2-FCDD-4F63-9940-8FADCAF65685}" srcOrd="1" destOrd="0" presId="urn:microsoft.com/office/officeart/2005/8/layout/hierarchy1"/>
    <dgm:cxn modelId="{BF76A4E1-1002-49CE-B4DB-BB404150CCBA}" type="presParOf" srcId="{0ED610F2-FCDD-4F63-9940-8FADCAF65685}" destId="{9DAC8DD2-7315-4C9D-B941-1DC93B0ABB09}" srcOrd="0" destOrd="0" presId="urn:microsoft.com/office/officeart/2005/8/layout/hierarchy1"/>
    <dgm:cxn modelId="{F00CB8BB-81DC-4C53-9330-4C9A7876FF40}" type="presParOf" srcId="{9DAC8DD2-7315-4C9D-B941-1DC93B0ABB09}" destId="{9D8F336D-5E15-4DA1-B649-EE4E2D81E5D2}" srcOrd="0" destOrd="0" presId="urn:microsoft.com/office/officeart/2005/8/layout/hierarchy1"/>
    <dgm:cxn modelId="{BAEF45B7-F5D5-40BF-BBB4-F24F4C4578BD}" type="presParOf" srcId="{9DAC8DD2-7315-4C9D-B941-1DC93B0ABB09}" destId="{E98FC5B9-4D4E-4EE1-8467-574F0B518862}" srcOrd="1" destOrd="0" presId="urn:microsoft.com/office/officeart/2005/8/layout/hierarchy1"/>
    <dgm:cxn modelId="{6C6FD89D-08A9-45B2-8605-82F2FB75A709}" type="presParOf" srcId="{0ED610F2-FCDD-4F63-9940-8FADCAF65685}" destId="{3918F0BC-E88F-49BE-A746-F9655D105901}" srcOrd="1" destOrd="0" presId="urn:microsoft.com/office/officeart/2005/8/layout/hierarchy1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135F91DC-CF4E-40EA-AE83-5AC5728ECD89}">
      <dsp:nvSpPr>
        <dsp:cNvPr id="0" name=""/>
        <dsp:cNvSpPr/>
      </dsp:nvSpPr>
      <dsp:spPr>
        <a:xfrm>
          <a:off x="2213853" y="2014276"/>
          <a:ext cx="91440" cy="375100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375100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EC0C1861-60A6-4174-BE2A-1B89C00B6079}">
      <dsp:nvSpPr>
        <dsp:cNvPr id="0" name=""/>
        <dsp:cNvSpPr/>
      </dsp:nvSpPr>
      <dsp:spPr>
        <a:xfrm>
          <a:off x="1471397" y="820189"/>
          <a:ext cx="788176" cy="37510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55619"/>
              </a:lnTo>
              <a:lnTo>
                <a:pt x="788176" y="255619"/>
              </a:lnTo>
              <a:lnTo>
                <a:pt x="788176" y="375100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D3D7632-B0A4-4E28-BEDD-28166E8DC5F9}">
      <dsp:nvSpPr>
        <dsp:cNvPr id="0" name=""/>
        <dsp:cNvSpPr/>
      </dsp:nvSpPr>
      <dsp:spPr>
        <a:xfrm>
          <a:off x="637501" y="2014276"/>
          <a:ext cx="91440" cy="375100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375100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9672DA2-5ECC-491E-A963-065FC3C37DE2}">
      <dsp:nvSpPr>
        <dsp:cNvPr id="0" name=""/>
        <dsp:cNvSpPr/>
      </dsp:nvSpPr>
      <dsp:spPr>
        <a:xfrm>
          <a:off x="683221" y="820189"/>
          <a:ext cx="788176" cy="375100"/>
        </a:xfrm>
        <a:custGeom>
          <a:avLst/>
          <a:gdLst/>
          <a:ahLst/>
          <a:cxnLst/>
          <a:rect l="0" t="0" r="0" b="0"/>
          <a:pathLst>
            <a:path>
              <a:moveTo>
                <a:pt x="788176" y="0"/>
              </a:moveTo>
              <a:lnTo>
                <a:pt x="788176" y="255619"/>
              </a:lnTo>
              <a:lnTo>
                <a:pt x="0" y="255619"/>
              </a:lnTo>
              <a:lnTo>
                <a:pt x="0" y="375100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F2C9FA5-E066-412A-96CD-3C6DBD9CF63B}">
      <dsp:nvSpPr>
        <dsp:cNvPr id="0" name=""/>
        <dsp:cNvSpPr/>
      </dsp:nvSpPr>
      <dsp:spPr>
        <a:xfrm>
          <a:off x="826526" y="1203"/>
          <a:ext cx="1289742" cy="818986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E5ACEAA2-704C-4646-9DED-167C090A8A39}">
      <dsp:nvSpPr>
        <dsp:cNvPr id="0" name=""/>
        <dsp:cNvSpPr/>
      </dsp:nvSpPr>
      <dsp:spPr>
        <a:xfrm>
          <a:off x="969831" y="137342"/>
          <a:ext cx="1289742" cy="818986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57150" tIns="57150" rIns="57150" bIns="57150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1500" kern="1200"/>
            <a:t>Employee Sales</a:t>
          </a:r>
        </a:p>
      </dsp:txBody>
      <dsp:txXfrm>
        <a:off x="993818" y="161329"/>
        <a:ext cx="1241768" cy="771012"/>
      </dsp:txXfrm>
    </dsp:sp>
    <dsp:sp modelId="{D22C26B6-17F0-43F8-991D-AFA1CC7AD8C7}">
      <dsp:nvSpPr>
        <dsp:cNvPr id="0" name=""/>
        <dsp:cNvSpPr/>
      </dsp:nvSpPr>
      <dsp:spPr>
        <a:xfrm>
          <a:off x="38350" y="1195289"/>
          <a:ext cx="1289742" cy="818986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86C720E6-79E5-4599-BA60-03CEFF3BAEE9}">
      <dsp:nvSpPr>
        <dsp:cNvPr id="0" name=""/>
        <dsp:cNvSpPr/>
      </dsp:nvSpPr>
      <dsp:spPr>
        <a:xfrm>
          <a:off x="181654" y="1331429"/>
          <a:ext cx="1289742" cy="818986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57150" tIns="57150" rIns="57150" bIns="57150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1500" kern="1200"/>
            <a:t>Sales&gt;=Target</a:t>
          </a:r>
        </a:p>
      </dsp:txBody>
      <dsp:txXfrm>
        <a:off x="205641" y="1355416"/>
        <a:ext cx="1241768" cy="771012"/>
      </dsp:txXfrm>
    </dsp:sp>
    <dsp:sp modelId="{85602465-6E29-4C65-953C-49DD606443DB}">
      <dsp:nvSpPr>
        <dsp:cNvPr id="0" name=""/>
        <dsp:cNvSpPr/>
      </dsp:nvSpPr>
      <dsp:spPr>
        <a:xfrm>
          <a:off x="38350" y="2389376"/>
          <a:ext cx="1289742" cy="818986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D1FC8923-F1B0-435F-9142-B4BB047CE66E}">
      <dsp:nvSpPr>
        <dsp:cNvPr id="0" name=""/>
        <dsp:cNvSpPr/>
      </dsp:nvSpPr>
      <dsp:spPr>
        <a:xfrm>
          <a:off x="181654" y="2525516"/>
          <a:ext cx="1289742" cy="818986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57150" tIns="57150" rIns="57150" bIns="57150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1500" kern="1200"/>
            <a:t>Award Bonus</a:t>
          </a:r>
        </a:p>
      </dsp:txBody>
      <dsp:txXfrm>
        <a:off x="205641" y="2549503"/>
        <a:ext cx="1241768" cy="771012"/>
      </dsp:txXfrm>
    </dsp:sp>
    <dsp:sp modelId="{EF01353B-9C21-4EE0-B3C3-9F8758E8B118}">
      <dsp:nvSpPr>
        <dsp:cNvPr id="0" name=""/>
        <dsp:cNvSpPr/>
      </dsp:nvSpPr>
      <dsp:spPr>
        <a:xfrm>
          <a:off x="1614702" y="1195289"/>
          <a:ext cx="1289742" cy="818986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FBDADB70-9358-45E0-B5A4-6CF3DCF1A512}">
      <dsp:nvSpPr>
        <dsp:cNvPr id="0" name=""/>
        <dsp:cNvSpPr/>
      </dsp:nvSpPr>
      <dsp:spPr>
        <a:xfrm>
          <a:off x="1758007" y="1331429"/>
          <a:ext cx="1289742" cy="818986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57150" tIns="57150" rIns="57150" bIns="57150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1500" kern="1200"/>
            <a:t>Sales&lt;Target</a:t>
          </a:r>
        </a:p>
      </dsp:txBody>
      <dsp:txXfrm>
        <a:off x="1781994" y="1355416"/>
        <a:ext cx="1241768" cy="771012"/>
      </dsp:txXfrm>
    </dsp:sp>
    <dsp:sp modelId="{1F103C9A-9934-4FE4-84B1-8091504BA3B5}">
      <dsp:nvSpPr>
        <dsp:cNvPr id="0" name=""/>
        <dsp:cNvSpPr/>
      </dsp:nvSpPr>
      <dsp:spPr>
        <a:xfrm>
          <a:off x="1614702" y="2389376"/>
          <a:ext cx="1289742" cy="818986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7939463D-F202-4729-ADD4-7B1602014BA5}">
      <dsp:nvSpPr>
        <dsp:cNvPr id="0" name=""/>
        <dsp:cNvSpPr/>
      </dsp:nvSpPr>
      <dsp:spPr>
        <a:xfrm>
          <a:off x="1758007" y="2525516"/>
          <a:ext cx="1289742" cy="818986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57150" tIns="57150" rIns="57150" bIns="57150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1500" kern="1200"/>
            <a:t>No Bonus</a:t>
          </a:r>
        </a:p>
      </dsp:txBody>
      <dsp:txXfrm>
        <a:off x="1781994" y="2549503"/>
        <a:ext cx="1241768" cy="771012"/>
      </dsp:txXfrm>
    </dsp:sp>
  </dsp:spTree>
</dsp:drawing>
</file>

<file path=xl/diagrams/drawing2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D45CD951-67CB-479C-B72E-D054DEE27101}">
      <dsp:nvSpPr>
        <dsp:cNvPr id="0" name=""/>
        <dsp:cNvSpPr/>
      </dsp:nvSpPr>
      <dsp:spPr>
        <a:xfrm>
          <a:off x="2077759" y="2088793"/>
          <a:ext cx="91440" cy="244018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244018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EBF6422-FB5C-4478-8E30-D771B4BF5CFD}">
      <dsp:nvSpPr>
        <dsp:cNvPr id="0" name=""/>
        <dsp:cNvSpPr/>
      </dsp:nvSpPr>
      <dsp:spPr>
        <a:xfrm>
          <a:off x="2077759" y="1311988"/>
          <a:ext cx="91440" cy="244018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244018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A0E888A1-C9E1-48AA-88CB-D02A86E2F5BC}">
      <dsp:nvSpPr>
        <dsp:cNvPr id="0" name=""/>
        <dsp:cNvSpPr/>
      </dsp:nvSpPr>
      <dsp:spPr>
        <a:xfrm>
          <a:off x="1610736" y="535183"/>
          <a:ext cx="512742" cy="24401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66291"/>
              </a:lnTo>
              <a:lnTo>
                <a:pt x="512742" y="166291"/>
              </a:lnTo>
              <a:lnTo>
                <a:pt x="512742" y="244018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95AA2FCF-1E7C-4406-9AC6-DBCEB69A28E4}">
      <dsp:nvSpPr>
        <dsp:cNvPr id="0" name=""/>
        <dsp:cNvSpPr/>
      </dsp:nvSpPr>
      <dsp:spPr>
        <a:xfrm>
          <a:off x="1052274" y="2088793"/>
          <a:ext cx="91440" cy="244018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244018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E898A030-3F3C-44E8-A021-4DDDCA65F458}">
      <dsp:nvSpPr>
        <dsp:cNvPr id="0" name=""/>
        <dsp:cNvSpPr/>
      </dsp:nvSpPr>
      <dsp:spPr>
        <a:xfrm>
          <a:off x="1052274" y="1311988"/>
          <a:ext cx="91440" cy="244018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244018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729FCA3-4759-41D3-85EA-94899EC68C3B}">
      <dsp:nvSpPr>
        <dsp:cNvPr id="0" name=""/>
        <dsp:cNvSpPr/>
      </dsp:nvSpPr>
      <dsp:spPr>
        <a:xfrm>
          <a:off x="1097994" y="535183"/>
          <a:ext cx="512742" cy="244018"/>
        </a:xfrm>
        <a:custGeom>
          <a:avLst/>
          <a:gdLst/>
          <a:ahLst/>
          <a:cxnLst/>
          <a:rect l="0" t="0" r="0" b="0"/>
          <a:pathLst>
            <a:path>
              <a:moveTo>
                <a:pt x="512742" y="0"/>
              </a:moveTo>
              <a:lnTo>
                <a:pt x="512742" y="166291"/>
              </a:lnTo>
              <a:lnTo>
                <a:pt x="0" y="166291"/>
              </a:lnTo>
              <a:lnTo>
                <a:pt x="0" y="244018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FC9C475-DD75-411D-9B2F-B80662EE0F3E}">
      <dsp:nvSpPr>
        <dsp:cNvPr id="0" name=""/>
        <dsp:cNvSpPr/>
      </dsp:nvSpPr>
      <dsp:spPr>
        <a:xfrm>
          <a:off x="1191219" y="2397"/>
          <a:ext cx="839033" cy="532786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1E48A755-04AD-4435-993E-B9F9FCAC5F08}">
      <dsp:nvSpPr>
        <dsp:cNvPr id="0" name=""/>
        <dsp:cNvSpPr/>
      </dsp:nvSpPr>
      <dsp:spPr>
        <a:xfrm>
          <a:off x="1284445" y="90962"/>
          <a:ext cx="839033" cy="532786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45720" tIns="45720" rIns="45720" bIns="457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1200" kern="1200"/>
            <a:t>Applicant</a:t>
          </a:r>
        </a:p>
      </dsp:txBody>
      <dsp:txXfrm>
        <a:off x="1300050" y="106567"/>
        <a:ext cx="807823" cy="501576"/>
      </dsp:txXfrm>
    </dsp:sp>
    <dsp:sp modelId="{FED90F7F-7B37-4A2F-8528-2A51A5753919}">
      <dsp:nvSpPr>
        <dsp:cNvPr id="0" name=""/>
        <dsp:cNvSpPr/>
      </dsp:nvSpPr>
      <dsp:spPr>
        <a:xfrm>
          <a:off x="678477" y="779202"/>
          <a:ext cx="839033" cy="532786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7916E622-ACFA-4D2E-A8D8-72041A4FB950}">
      <dsp:nvSpPr>
        <dsp:cNvPr id="0" name=""/>
        <dsp:cNvSpPr/>
      </dsp:nvSpPr>
      <dsp:spPr>
        <a:xfrm>
          <a:off x="771703" y="867767"/>
          <a:ext cx="839033" cy="532786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45720" tIns="45720" rIns="45720" bIns="457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1200" kern="1200"/>
            <a:t>Skills </a:t>
          </a:r>
          <a:r>
            <a:rPr lang="en-IN" sz="1200" b="1" kern="1200"/>
            <a:t>And </a:t>
          </a:r>
          <a:r>
            <a:rPr lang="en-IN" sz="1200" kern="1200"/>
            <a:t>Experience</a:t>
          </a:r>
        </a:p>
      </dsp:txBody>
      <dsp:txXfrm>
        <a:off x="787308" y="883372"/>
        <a:ext cx="807823" cy="501576"/>
      </dsp:txXfrm>
    </dsp:sp>
    <dsp:sp modelId="{02796A30-DA00-4173-AA50-CF71AEE750E3}">
      <dsp:nvSpPr>
        <dsp:cNvPr id="0" name=""/>
        <dsp:cNvSpPr/>
      </dsp:nvSpPr>
      <dsp:spPr>
        <a:xfrm>
          <a:off x="678477" y="1556007"/>
          <a:ext cx="839033" cy="532786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2D800A29-CEC3-4E39-8FD3-3F4902E4791C}">
      <dsp:nvSpPr>
        <dsp:cNvPr id="0" name=""/>
        <dsp:cNvSpPr/>
      </dsp:nvSpPr>
      <dsp:spPr>
        <a:xfrm>
          <a:off x="771703" y="1644572"/>
          <a:ext cx="839033" cy="532786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45720" tIns="45720" rIns="45720" bIns="457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1200" kern="1200"/>
            <a:t>Yes</a:t>
          </a:r>
        </a:p>
      </dsp:txBody>
      <dsp:txXfrm>
        <a:off x="787308" y="1660177"/>
        <a:ext cx="807823" cy="501576"/>
      </dsp:txXfrm>
    </dsp:sp>
    <dsp:sp modelId="{11365718-2324-4D1E-A423-1ADBBAFF0A04}">
      <dsp:nvSpPr>
        <dsp:cNvPr id="0" name=""/>
        <dsp:cNvSpPr/>
      </dsp:nvSpPr>
      <dsp:spPr>
        <a:xfrm>
          <a:off x="678477" y="2332812"/>
          <a:ext cx="839033" cy="532786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966B58F6-EFDE-46B4-AA84-CB263ED6A5D8}">
      <dsp:nvSpPr>
        <dsp:cNvPr id="0" name=""/>
        <dsp:cNvSpPr/>
      </dsp:nvSpPr>
      <dsp:spPr>
        <a:xfrm>
          <a:off x="771703" y="2421377"/>
          <a:ext cx="839033" cy="532786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45720" tIns="45720" rIns="45720" bIns="457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1200" kern="1200"/>
            <a:t>Selected</a:t>
          </a:r>
        </a:p>
      </dsp:txBody>
      <dsp:txXfrm>
        <a:off x="787308" y="2436982"/>
        <a:ext cx="807823" cy="501576"/>
      </dsp:txXfrm>
    </dsp:sp>
    <dsp:sp modelId="{597DA438-DE41-4980-AD8A-AF98B9CFB740}">
      <dsp:nvSpPr>
        <dsp:cNvPr id="0" name=""/>
        <dsp:cNvSpPr/>
      </dsp:nvSpPr>
      <dsp:spPr>
        <a:xfrm>
          <a:off x="1703962" y="779202"/>
          <a:ext cx="839033" cy="532786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63FA3529-9BE3-4010-A37F-49292C200F99}">
      <dsp:nvSpPr>
        <dsp:cNvPr id="0" name=""/>
        <dsp:cNvSpPr/>
      </dsp:nvSpPr>
      <dsp:spPr>
        <a:xfrm>
          <a:off x="1797188" y="867767"/>
          <a:ext cx="839033" cy="532786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45720" tIns="45720" rIns="45720" bIns="457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1200" kern="1200"/>
            <a:t>Skills </a:t>
          </a:r>
          <a:r>
            <a:rPr lang="en-IN" sz="1200" b="1" kern="1200"/>
            <a:t>And</a:t>
          </a:r>
          <a:r>
            <a:rPr lang="en-IN" sz="1200" kern="1200"/>
            <a:t> Experience</a:t>
          </a:r>
        </a:p>
      </dsp:txBody>
      <dsp:txXfrm>
        <a:off x="1812793" y="883372"/>
        <a:ext cx="807823" cy="501576"/>
      </dsp:txXfrm>
    </dsp:sp>
    <dsp:sp modelId="{5B8553CC-A98E-4FD2-83A5-D112E613C2E1}">
      <dsp:nvSpPr>
        <dsp:cNvPr id="0" name=""/>
        <dsp:cNvSpPr/>
      </dsp:nvSpPr>
      <dsp:spPr>
        <a:xfrm>
          <a:off x="1703962" y="1556007"/>
          <a:ext cx="839033" cy="532786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31A26054-F60B-45A0-B3CF-768C0B88B077}">
      <dsp:nvSpPr>
        <dsp:cNvPr id="0" name=""/>
        <dsp:cNvSpPr/>
      </dsp:nvSpPr>
      <dsp:spPr>
        <a:xfrm>
          <a:off x="1797188" y="1644572"/>
          <a:ext cx="839033" cy="532786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45720" tIns="45720" rIns="45720" bIns="457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1200" kern="1200"/>
            <a:t>No</a:t>
          </a:r>
        </a:p>
      </dsp:txBody>
      <dsp:txXfrm>
        <a:off x="1812793" y="1660177"/>
        <a:ext cx="807823" cy="501576"/>
      </dsp:txXfrm>
    </dsp:sp>
    <dsp:sp modelId="{9D8F336D-5E15-4DA1-B649-EE4E2D81E5D2}">
      <dsp:nvSpPr>
        <dsp:cNvPr id="0" name=""/>
        <dsp:cNvSpPr/>
      </dsp:nvSpPr>
      <dsp:spPr>
        <a:xfrm>
          <a:off x="1703962" y="2332812"/>
          <a:ext cx="839033" cy="532786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E98FC5B9-4D4E-4EE1-8467-574F0B518862}">
      <dsp:nvSpPr>
        <dsp:cNvPr id="0" name=""/>
        <dsp:cNvSpPr/>
      </dsp:nvSpPr>
      <dsp:spPr>
        <a:xfrm>
          <a:off x="1797188" y="2421377"/>
          <a:ext cx="839033" cy="532786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45720" tIns="45720" rIns="45720" bIns="457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1200" kern="1200"/>
            <a:t>Not Selected</a:t>
          </a:r>
        </a:p>
      </dsp:txBody>
      <dsp:txXfrm>
        <a:off x="1812793" y="2436982"/>
        <a:ext cx="807823" cy="501576"/>
      </dsp:txXfrm>
    </dsp:sp>
  </dsp:spTree>
</dsp:drawing>
</file>

<file path=xl/diagrams/drawing3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D45CD951-67CB-479C-B72E-D054DEE27101}">
      <dsp:nvSpPr>
        <dsp:cNvPr id="0" name=""/>
        <dsp:cNvSpPr/>
      </dsp:nvSpPr>
      <dsp:spPr>
        <a:xfrm>
          <a:off x="2530383" y="3176778"/>
          <a:ext cx="91440" cy="371267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371267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EBF6422-FB5C-4478-8E30-D771B4BF5CFD}">
      <dsp:nvSpPr>
        <dsp:cNvPr id="0" name=""/>
        <dsp:cNvSpPr/>
      </dsp:nvSpPr>
      <dsp:spPr>
        <a:xfrm>
          <a:off x="2530383" y="1994891"/>
          <a:ext cx="91440" cy="371267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371267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A0E888A1-C9E1-48AA-88CB-D02A86E2F5BC}">
      <dsp:nvSpPr>
        <dsp:cNvPr id="0" name=""/>
        <dsp:cNvSpPr/>
      </dsp:nvSpPr>
      <dsp:spPr>
        <a:xfrm>
          <a:off x="1795979" y="813004"/>
          <a:ext cx="780123" cy="371267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53008"/>
              </a:lnTo>
              <a:lnTo>
                <a:pt x="780123" y="253008"/>
              </a:lnTo>
              <a:lnTo>
                <a:pt x="780123" y="371267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95AA2FCF-1E7C-4406-9AC6-DBCEB69A28E4}">
      <dsp:nvSpPr>
        <dsp:cNvPr id="0" name=""/>
        <dsp:cNvSpPr/>
      </dsp:nvSpPr>
      <dsp:spPr>
        <a:xfrm>
          <a:off x="970136" y="3176778"/>
          <a:ext cx="91440" cy="371267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371267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E898A030-3F3C-44E8-A021-4DDDCA65F458}">
      <dsp:nvSpPr>
        <dsp:cNvPr id="0" name=""/>
        <dsp:cNvSpPr/>
      </dsp:nvSpPr>
      <dsp:spPr>
        <a:xfrm>
          <a:off x="970136" y="1994891"/>
          <a:ext cx="91440" cy="371267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371267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729FCA3-4759-41D3-85EA-94899EC68C3B}">
      <dsp:nvSpPr>
        <dsp:cNvPr id="0" name=""/>
        <dsp:cNvSpPr/>
      </dsp:nvSpPr>
      <dsp:spPr>
        <a:xfrm>
          <a:off x="1015856" y="813004"/>
          <a:ext cx="780123" cy="371267"/>
        </a:xfrm>
        <a:custGeom>
          <a:avLst/>
          <a:gdLst/>
          <a:ahLst/>
          <a:cxnLst/>
          <a:rect l="0" t="0" r="0" b="0"/>
          <a:pathLst>
            <a:path>
              <a:moveTo>
                <a:pt x="780123" y="0"/>
              </a:moveTo>
              <a:lnTo>
                <a:pt x="780123" y="253008"/>
              </a:lnTo>
              <a:lnTo>
                <a:pt x="0" y="253008"/>
              </a:lnTo>
              <a:lnTo>
                <a:pt x="0" y="371267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FC9C475-DD75-411D-9B2F-B80662EE0F3E}">
      <dsp:nvSpPr>
        <dsp:cNvPr id="0" name=""/>
        <dsp:cNvSpPr/>
      </dsp:nvSpPr>
      <dsp:spPr>
        <a:xfrm>
          <a:off x="1157696" y="2385"/>
          <a:ext cx="1276565" cy="810619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1E48A755-04AD-4435-993E-B9F9FCAC5F08}">
      <dsp:nvSpPr>
        <dsp:cNvPr id="0" name=""/>
        <dsp:cNvSpPr/>
      </dsp:nvSpPr>
      <dsp:spPr>
        <a:xfrm>
          <a:off x="1299537" y="137133"/>
          <a:ext cx="1276565" cy="810619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45720" tIns="45720" rIns="45720" bIns="457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1200" kern="1200"/>
            <a:t>Customer</a:t>
          </a:r>
        </a:p>
      </dsp:txBody>
      <dsp:txXfrm>
        <a:off x="1323279" y="160875"/>
        <a:ext cx="1229081" cy="763135"/>
      </dsp:txXfrm>
    </dsp:sp>
    <dsp:sp modelId="{FED90F7F-7B37-4A2F-8528-2A51A5753919}">
      <dsp:nvSpPr>
        <dsp:cNvPr id="0" name=""/>
        <dsp:cNvSpPr/>
      </dsp:nvSpPr>
      <dsp:spPr>
        <a:xfrm>
          <a:off x="377573" y="1184272"/>
          <a:ext cx="1276565" cy="810619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7916E622-ACFA-4D2E-A8D8-72041A4FB950}">
      <dsp:nvSpPr>
        <dsp:cNvPr id="0" name=""/>
        <dsp:cNvSpPr/>
      </dsp:nvSpPr>
      <dsp:spPr>
        <a:xfrm>
          <a:off x="519413" y="1319021"/>
          <a:ext cx="1276565" cy="810619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45720" tIns="45720" rIns="45720" bIns="457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1200" kern="1200"/>
            <a:t>Quantity&gt;=5</a:t>
          </a:r>
        </a:p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1200" b="1" kern="1200"/>
            <a:t>OR</a:t>
          </a:r>
        </a:p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1200" kern="1200"/>
            <a:t>Total Spent &gt;=100</a:t>
          </a:r>
        </a:p>
      </dsp:txBody>
      <dsp:txXfrm>
        <a:off x="543155" y="1342763"/>
        <a:ext cx="1229081" cy="763135"/>
      </dsp:txXfrm>
    </dsp:sp>
    <dsp:sp modelId="{02796A30-DA00-4173-AA50-CF71AEE750E3}">
      <dsp:nvSpPr>
        <dsp:cNvPr id="0" name=""/>
        <dsp:cNvSpPr/>
      </dsp:nvSpPr>
      <dsp:spPr>
        <a:xfrm>
          <a:off x="377573" y="2366159"/>
          <a:ext cx="1276565" cy="810619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2D800A29-CEC3-4E39-8FD3-3F4902E4791C}">
      <dsp:nvSpPr>
        <dsp:cNvPr id="0" name=""/>
        <dsp:cNvSpPr/>
      </dsp:nvSpPr>
      <dsp:spPr>
        <a:xfrm>
          <a:off x="519413" y="2500908"/>
          <a:ext cx="1276565" cy="810619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45720" tIns="45720" rIns="45720" bIns="457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1200" kern="1200"/>
            <a:t>Yes</a:t>
          </a:r>
        </a:p>
      </dsp:txBody>
      <dsp:txXfrm>
        <a:off x="543155" y="2524650"/>
        <a:ext cx="1229081" cy="763135"/>
      </dsp:txXfrm>
    </dsp:sp>
    <dsp:sp modelId="{11365718-2324-4D1E-A423-1ADBBAFF0A04}">
      <dsp:nvSpPr>
        <dsp:cNvPr id="0" name=""/>
        <dsp:cNvSpPr/>
      </dsp:nvSpPr>
      <dsp:spPr>
        <a:xfrm>
          <a:off x="377573" y="3548046"/>
          <a:ext cx="1276565" cy="810619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966B58F6-EFDE-46B4-AA84-CB263ED6A5D8}">
      <dsp:nvSpPr>
        <dsp:cNvPr id="0" name=""/>
        <dsp:cNvSpPr/>
      </dsp:nvSpPr>
      <dsp:spPr>
        <a:xfrm>
          <a:off x="519413" y="3682795"/>
          <a:ext cx="1276565" cy="810619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45720" tIns="45720" rIns="45720" bIns="457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1200" kern="1200"/>
            <a:t>Discount Applicable</a:t>
          </a:r>
        </a:p>
      </dsp:txBody>
      <dsp:txXfrm>
        <a:off x="543155" y="3706537"/>
        <a:ext cx="1229081" cy="763135"/>
      </dsp:txXfrm>
    </dsp:sp>
    <dsp:sp modelId="{597DA438-DE41-4980-AD8A-AF98B9CFB740}">
      <dsp:nvSpPr>
        <dsp:cNvPr id="0" name=""/>
        <dsp:cNvSpPr/>
      </dsp:nvSpPr>
      <dsp:spPr>
        <a:xfrm>
          <a:off x="1937820" y="1184272"/>
          <a:ext cx="1276565" cy="810619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63FA3529-9BE3-4010-A37F-49292C200F99}">
      <dsp:nvSpPr>
        <dsp:cNvPr id="0" name=""/>
        <dsp:cNvSpPr/>
      </dsp:nvSpPr>
      <dsp:spPr>
        <a:xfrm>
          <a:off x="2079660" y="1319021"/>
          <a:ext cx="1276565" cy="810619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45720" tIns="45720" rIns="45720" bIns="457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1200" kern="1200"/>
            <a:t>Quantity&lt;5</a:t>
          </a:r>
        </a:p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1200" b="1" kern="1200"/>
            <a:t>OR</a:t>
          </a:r>
        </a:p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1200" kern="1200"/>
            <a:t>Total Spent &lt;100</a:t>
          </a:r>
        </a:p>
      </dsp:txBody>
      <dsp:txXfrm>
        <a:off x="2103402" y="1342763"/>
        <a:ext cx="1229081" cy="763135"/>
      </dsp:txXfrm>
    </dsp:sp>
    <dsp:sp modelId="{5B8553CC-A98E-4FD2-83A5-D112E613C2E1}">
      <dsp:nvSpPr>
        <dsp:cNvPr id="0" name=""/>
        <dsp:cNvSpPr/>
      </dsp:nvSpPr>
      <dsp:spPr>
        <a:xfrm>
          <a:off x="1937820" y="2366159"/>
          <a:ext cx="1276565" cy="810619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31A26054-F60B-45A0-B3CF-768C0B88B077}">
      <dsp:nvSpPr>
        <dsp:cNvPr id="0" name=""/>
        <dsp:cNvSpPr/>
      </dsp:nvSpPr>
      <dsp:spPr>
        <a:xfrm>
          <a:off x="2079660" y="2500908"/>
          <a:ext cx="1276565" cy="810619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45720" tIns="45720" rIns="45720" bIns="457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1200" kern="1200"/>
            <a:t>No</a:t>
          </a:r>
        </a:p>
      </dsp:txBody>
      <dsp:txXfrm>
        <a:off x="2103402" y="2524650"/>
        <a:ext cx="1229081" cy="763135"/>
      </dsp:txXfrm>
    </dsp:sp>
    <dsp:sp modelId="{9D8F336D-5E15-4DA1-B649-EE4E2D81E5D2}">
      <dsp:nvSpPr>
        <dsp:cNvPr id="0" name=""/>
        <dsp:cNvSpPr/>
      </dsp:nvSpPr>
      <dsp:spPr>
        <a:xfrm>
          <a:off x="1937820" y="3548046"/>
          <a:ext cx="1276565" cy="810619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E98FC5B9-4D4E-4EE1-8467-574F0B518862}">
      <dsp:nvSpPr>
        <dsp:cNvPr id="0" name=""/>
        <dsp:cNvSpPr/>
      </dsp:nvSpPr>
      <dsp:spPr>
        <a:xfrm>
          <a:off x="2079660" y="3682795"/>
          <a:ext cx="1276565" cy="810619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45720" tIns="45720" rIns="45720" bIns="457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N" sz="1200" kern="1200"/>
            <a:t>No Discount Applicable</a:t>
          </a:r>
        </a:p>
      </dsp:txBody>
      <dsp:txXfrm>
        <a:off x="2103402" y="3706537"/>
        <a:ext cx="1229081" cy="763135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hierarchy1">
  <dgm:title val=""/>
  <dgm:desc val=""/>
  <dgm:catLst>
    <dgm:cat type="hierarchy" pri="20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21">
          <dgm:prSet phldr="1"/>
        </dgm:pt>
        <dgm:pt modelId="22">
          <dgm:prSet phldr="1"/>
        </dgm:pt>
        <dgm:pt modelId="3">
          <dgm:prSet phldr="1"/>
        </dgm:pt>
        <dgm:pt modelId="31">
          <dgm:prSet phldr="1"/>
        </dgm:pt>
      </dgm:ptLst>
      <dgm:cxnLst>
        <dgm:cxn modelId="4" srcId="0" destId="1" srcOrd="0" destOrd="0"/>
        <dgm:cxn modelId="5" srcId="1" destId="2" srcOrd="0" destOrd="0"/>
        <dgm:cxn modelId="6" srcId="1" destId="3" srcOrd="1" destOrd="0"/>
        <dgm:cxn modelId="23" srcId="2" destId="21" srcOrd="0" destOrd="0"/>
        <dgm:cxn modelId="24" srcId="2" destId="22" srcOrd="1" destOrd="0"/>
        <dgm:cxn modelId="33" srcId="3" destId="31" srcOrd="0" destOrd="0"/>
      </dgm:cxnLst>
      <dgm:bg/>
      <dgm:whole/>
    </dgm:dataModel>
  </dgm:sampData>
  <dgm:styleData>
    <dgm:dataModel>
      <dgm:ptLst>
        <dgm:pt modelId="0" type="doc"/>
        <dgm:pt modelId="1"/>
        <dgm:pt modelId="11"/>
        <dgm:pt modelId="12"/>
      </dgm:ptLst>
      <dgm:cxnLst>
        <dgm:cxn modelId="2" srcId="0" destId="1" srcOrd="0" destOrd="0"/>
        <dgm:cxn modelId="13" srcId="1" destId="11" srcOrd="0" destOrd="0"/>
        <dgm:cxn modelId="14" srcId="1" destId="1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21"/>
        <dgm:pt modelId="211"/>
        <dgm:pt modelId="3"/>
        <dgm:pt modelId="31"/>
        <dgm:pt modelId="311"/>
      </dgm:ptLst>
      <dgm:cxnLst>
        <dgm:cxn modelId="4" srcId="0" destId="1" srcOrd="0" destOrd="0"/>
        <dgm:cxn modelId="5" srcId="1" destId="2" srcOrd="0" destOrd="0"/>
        <dgm:cxn modelId="6" srcId="1" destId="3" srcOrd="1" destOrd="0"/>
        <dgm:cxn modelId="23" srcId="2" destId="21" srcOrd="0" destOrd="0"/>
        <dgm:cxn modelId="24" srcId="21" destId="211" srcOrd="0" destOrd="0"/>
        <dgm:cxn modelId="33" srcId="3" destId="31" srcOrd="0" destOrd="0"/>
        <dgm:cxn modelId="34" srcId="31" destId="311" srcOrd="0" destOrd="0"/>
      </dgm:cxnLst>
      <dgm:bg/>
      <dgm:whole/>
    </dgm:dataModel>
  </dgm:clrData>
  <dgm:layoutNode name="hierChild1">
    <dgm:varLst>
      <dgm:chPref val="1"/>
      <dgm:dir/>
      <dgm:animOne val="branch"/>
      <dgm:animLvl val="lvl"/>
      <dgm:resizeHandles/>
    </dgm:varLst>
    <dgm:choose name="Name0">
      <dgm:if name="Name1" func="var" arg="dir" op="equ" val="norm">
        <dgm:alg type="hierChild">
          <dgm:param type="linDir" val="fromL"/>
        </dgm:alg>
      </dgm:if>
      <dgm:else name="Name2">
        <dgm:alg type="hierChild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primFontSz" for="des" ptType="node" op="equ" val="65"/>
      <dgm:constr type="w" for="des" forName="composite" refType="w"/>
      <dgm:constr type="h" for="des" forName="composite" refType="w" refFor="des" refForName="composite" fact="0.667"/>
      <dgm:constr type="w" for="des" forName="composite2" refType="w" refFor="des" refForName="composite"/>
      <dgm:constr type="h" for="des" forName="composite2" refType="h" refFor="des" refForName="composite"/>
      <dgm:constr type="w" for="des" forName="composite3" refType="w" refFor="des" refForName="composite"/>
      <dgm:constr type="h" for="des" forName="composite3" refType="h" refFor="des" refForName="composite"/>
      <dgm:constr type="w" for="des" forName="composite4" refType="w" refFor="des" refForName="composite"/>
      <dgm:constr type="h" for="des" forName="composite4" refType="h" refFor="des" refForName="composite"/>
      <dgm:constr type="w" for="des" forName="composite5" refType="w" refFor="des" refForName="composite"/>
      <dgm:constr type="h" for="des" forName="composite5" refType="h" refFor="des" refForName="composite"/>
      <dgm:constr type="sibSp" refType="w" refFor="des" refForName="composite" fact="0.1"/>
      <dgm:constr type="sibSp" for="des" forName="hierChild2" refType="sibSp"/>
      <dgm:constr type="sibSp" for="des" forName="hierChild3" refType="sibSp"/>
      <dgm:constr type="sibSp" for="des" forName="hierChild4" refType="sibSp"/>
      <dgm:constr type="sibSp" for="des" forName="hierChild5" refType="sibSp"/>
      <dgm:constr type="sibSp" for="des" forName="hierChild6" refType="sibSp"/>
      <dgm:constr type="sp" for="des" forName="hierRoot1" refType="h" refFor="des" refForName="composite" fact="0.25"/>
      <dgm:constr type="sp" for="des" forName="hierRoot2" refType="sp" refFor="des" refForName="hierRoot1"/>
      <dgm:constr type="sp" for="des" forName="hierRoot3" refType="sp" refFor="des" refForName="hierRoot1"/>
      <dgm:constr type="sp" for="des" forName="hierRoot4" refType="sp" refFor="des" refForName="hierRoot1"/>
      <dgm:constr type="sp" for="des" forName="hierRoot5" refType="sp" refFor="des" refForName="hierRoot1"/>
    </dgm:constrLst>
    <dgm:ruleLst/>
    <dgm:forEach name="Name3" axis="ch">
      <dgm:forEach name="Name4" axis="self" ptType="node">
        <dgm:layoutNode name="hierRoot1">
          <dgm:alg type="hierRoot"/>
          <dgm:shape xmlns:r="http://schemas.openxmlformats.org/officeDocument/2006/relationships" r:blip="">
            <dgm:adjLst/>
          </dgm:shape>
          <dgm:presOf/>
          <dgm:constrLst>
            <dgm:constr type="bendDist" for="des" ptType="parTrans" refType="sp" fact="0.5"/>
          </dgm:constrLst>
          <dgm:ruleLst/>
          <dgm:layoutNode name="composite">
            <dgm:alg type="composite"/>
            <dgm:shape xmlns:r="http://schemas.openxmlformats.org/officeDocument/2006/relationships" r:blip="">
              <dgm:adjLst/>
            </dgm:shape>
            <dgm:presOf/>
            <dgm:constrLst>
              <dgm:constr type="w" for="ch" forName="background" refType="w" fact="0.9"/>
              <dgm:constr type="h" for="ch" forName="background" refType="w" refFor="ch" refForName="background" fact="0.635"/>
              <dgm:constr type="t" for="ch" forName="background"/>
              <dgm:constr type="l" for="ch" forName="background"/>
              <dgm:constr type="w" for="ch" forName="text" refType="w" fact="0.9"/>
              <dgm:constr type="h" for="ch" forName="text" refType="w" refFor="ch" refForName="text" fact="0.635"/>
              <dgm:constr type="t" for="ch" forName="text" refType="w" fact="0.095"/>
              <dgm:constr type="l" for="ch" forName="text" refType="w" fact="0.1"/>
            </dgm:constrLst>
            <dgm:ruleLst/>
            <dgm:layoutNode name="background" styleLbl="node0" moveWith="text">
              <dgm:alg type="sp"/>
              <dgm:shape xmlns:r="http://schemas.openxmlformats.org/officeDocument/2006/relationships" type="roundRect" r:blip="">
                <dgm:adjLst>
                  <dgm:adj idx="1" val="0.1"/>
                </dgm:adjLst>
              </dgm:shape>
              <dgm:presOf/>
              <dgm:constrLst/>
              <dgm:ruleLst/>
            </dgm:layoutNode>
            <dgm:layoutNode name="text" styleLbl="fgAcc0">
              <dgm:varLst>
                <dgm:chPref val="3"/>
              </dgm:varLst>
              <dgm:alg type="tx"/>
              <dgm:shape xmlns:r="http://schemas.openxmlformats.org/officeDocument/2006/relationships" type="roundRect" r:blip="">
                <dgm:adjLst>
                  <dgm:adj idx="1" val="0.1"/>
                </dgm:adjLst>
              </dgm:shape>
              <dgm:presOf axis="self"/>
              <dgm:constrLst>
                <dgm:constr type="tMarg" refType="primFontSz" fact="0.3"/>
                <dgm:constr type="bMarg" refType="primFontSz" fact="0.3"/>
                <dgm:constr type="lMarg" refType="primFontSz" fact="0.3"/>
                <dgm:constr type="rMarg" refType="primFontSz" fact="0.3"/>
              </dgm:constrLst>
              <dgm:ruleLst>
                <dgm:rule type="primFontSz" val="5" fact="NaN" max="NaN"/>
              </dgm:ruleLst>
            </dgm:layoutNode>
          </dgm:layoutNode>
          <dgm:layoutNode name="hierChild2">
            <dgm:choose name="Name5">
              <dgm:if name="Name6" func="var" arg="dir" op="equ" val="norm">
                <dgm:alg type="hierChild">
                  <dgm:param type="linDir" val="fromL"/>
                </dgm:alg>
              </dgm:if>
              <dgm:else name="Name7">
                <dgm:alg type="hierChild">
                  <dgm:param type="linDir" val="fromR"/>
                </dgm:alg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Name8" axis="ch">
              <dgm:forEach name="Name9" axis="self" ptType="parTrans" cnt="1">
                <dgm:layoutNode name="Name10">
                  <dgm:alg type="conn">
                    <dgm:param type="dim" val="1D"/>
                    <dgm:param type="endSty" val="noArr"/>
                    <dgm:param type="connRout" val="bend"/>
                    <dgm:param type="bendPt" val="end"/>
                    <dgm:param type="begPts" val="bCtr"/>
                    <dgm:param type="endPts" val="tCtr"/>
                    <dgm:param type="srcNode" val="background"/>
                    <dgm:param type="dstNode" val="background2"/>
                  </dgm:alg>
                  <dgm:shape xmlns:r="http://schemas.openxmlformats.org/officeDocument/2006/relationships" type="conn" r:blip="" zOrderOff="-999">
                    <dgm:adjLst/>
                  </dgm:shape>
                  <dgm:presOf axis="self"/>
                  <dgm:constrLst>
                    <dgm:constr type="begPad"/>
                    <dgm:constr type="endPad"/>
                  </dgm:constrLst>
                  <dgm:ruleLst/>
                </dgm:layoutNode>
              </dgm:forEach>
              <dgm:forEach name="Name11" axis="self" ptType="node">
                <dgm:layoutNode name="hierRoot2">
                  <dgm:alg type="hierRoot"/>
                  <dgm:shape xmlns:r="http://schemas.openxmlformats.org/officeDocument/2006/relationships" r:blip="">
                    <dgm:adjLst/>
                  </dgm:shape>
                  <dgm:presOf/>
                  <dgm:constrLst>
                    <dgm:constr type="bendDist" for="des" ptType="parTrans" refType="sp" fact="0.5"/>
                  </dgm:constrLst>
                  <dgm:ruleLst/>
                  <dgm:layoutNode name="composite2">
                    <dgm:alg type="composite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w" for="ch" forName="background2" refType="w" fact="0.9"/>
                      <dgm:constr type="h" for="ch" forName="background2" refType="w" refFor="ch" refForName="background2" fact="0.635"/>
                      <dgm:constr type="t" for="ch" forName="background2"/>
                      <dgm:constr type="l" for="ch" forName="background2"/>
                      <dgm:constr type="w" for="ch" forName="text2" refType="w" fact="0.9"/>
                      <dgm:constr type="h" for="ch" forName="text2" refType="w" refFor="ch" refForName="text2" fact="0.635"/>
                      <dgm:constr type="t" for="ch" forName="text2" refType="w" fact="0.095"/>
                      <dgm:constr type="l" for="ch" forName="text2" refType="w" fact="0.1"/>
                    </dgm:constrLst>
                    <dgm:ruleLst/>
                    <dgm:layoutNode name="background2" moveWith="text2">
                      <dgm:alg type="sp"/>
                      <dgm:shape xmlns:r="http://schemas.openxmlformats.org/officeDocument/2006/relationships" type="roundRect" r:blip="">
                        <dgm:adjLst>
                          <dgm:adj idx="1" val="0.1"/>
                        </dgm:adjLst>
                      </dgm:shape>
                      <dgm:presOf/>
                      <dgm:constrLst/>
                      <dgm:ruleLst/>
                    </dgm:layoutNode>
                    <dgm:layoutNode name="text2" styleLbl="fgAcc2">
                      <dgm:varLst>
                        <dgm:chPref val="3"/>
                      </dgm:varLst>
                      <dgm:alg type="tx"/>
                      <dgm:shape xmlns:r="http://schemas.openxmlformats.org/officeDocument/2006/relationships" type="roundRect" r:blip="">
                        <dgm:adjLst>
                          <dgm:adj idx="1" val="0.1"/>
                        </dgm:adjLst>
                      </dgm:shape>
                      <dgm:presOf axis="self"/>
                      <dgm:constrLst>
                        <dgm:constr type="tMarg" refType="primFontSz" fact="0.3"/>
                        <dgm:constr type="bMarg" refType="primFontSz" fact="0.3"/>
                        <dgm:constr type="lMarg" refType="primFontSz" fact="0.3"/>
                        <dgm:constr type="rMarg" refType="primFontSz" fact="0.3"/>
                      </dgm:constrLst>
                      <dgm:ruleLst>
                        <dgm:rule type="primFontSz" val="5" fact="NaN" max="NaN"/>
                      </dgm:ruleLst>
                    </dgm:layoutNode>
                  </dgm:layoutNode>
                  <dgm:layoutNode name="hierChild3">
                    <dgm:choose name="Name12">
                      <dgm:if name="Name13" func="var" arg="dir" op="equ" val="norm">
                        <dgm:alg type="hierChild">
                          <dgm:param type="linDir" val="fromL"/>
                        </dgm:alg>
                      </dgm:if>
                      <dgm:else name="Name14">
                        <dgm:alg type="hierChild">
                          <dgm:param type="linDir" val="fromR"/>
                        </dgm:alg>
                      </dgm:else>
                    </dgm:choose>
                    <dgm:shape xmlns:r="http://schemas.openxmlformats.org/officeDocument/2006/relationships" r:blip="">
                      <dgm:adjLst/>
                    </dgm:shape>
                    <dgm:presOf/>
                    <dgm:constrLst/>
                    <dgm:ruleLst/>
                    <dgm:forEach name="Name15" axis="ch">
                      <dgm:forEach name="Name16" axis="self" ptType="parTrans" cnt="1">
                        <dgm:layoutNode name="Name17">
                          <dgm:alg type="conn">
                            <dgm:param type="dim" val="1D"/>
                            <dgm:param type="endSty" val="noArr"/>
                            <dgm:param type="connRout" val="bend"/>
                            <dgm:param type="bendPt" val="end"/>
                            <dgm:param type="begPts" val="bCtr"/>
                            <dgm:param type="endPts" val="tCtr"/>
                            <dgm:param type="srcNode" val="background2"/>
                            <dgm:param type="dstNode" val="background3"/>
                          </dgm:alg>
                          <dgm:shape xmlns:r="http://schemas.openxmlformats.org/officeDocument/2006/relationships" type="conn" r:blip="" zOrderOff="-999">
                            <dgm:adjLst/>
                          </dgm:shape>
                          <dgm:presOf axis="self"/>
                          <dgm:constrLst>
                            <dgm:constr type="begPad"/>
                            <dgm:constr type="endPad"/>
                          </dgm:constrLst>
                          <dgm:ruleLst/>
                        </dgm:layoutNode>
                      </dgm:forEach>
                      <dgm:forEach name="Name18" axis="self" ptType="node">
                        <dgm:layoutNode name="hierRoot3">
                          <dgm:alg type="hierRoot"/>
                          <dgm:shape xmlns:r="http://schemas.openxmlformats.org/officeDocument/2006/relationships" r:blip="">
                            <dgm:adjLst/>
                          </dgm:shape>
                          <dgm:presOf/>
                          <dgm:constrLst>
                            <dgm:constr type="bendDist" for="des" ptType="parTrans" refType="sp" fact="0.5"/>
                          </dgm:constrLst>
                          <dgm:ruleLst/>
                          <dgm:layoutNode name="composite3">
                            <dgm:alg type="composite"/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>
                              <dgm:constr type="w" for="ch" forName="background3" refType="w" fact="0.9"/>
                              <dgm:constr type="h" for="ch" forName="background3" refType="w" refFor="ch" refForName="background3" fact="0.635"/>
                              <dgm:constr type="t" for="ch" forName="background3"/>
                              <dgm:constr type="l" for="ch" forName="background3"/>
                              <dgm:constr type="w" for="ch" forName="text3" refType="w" fact="0.9"/>
                              <dgm:constr type="h" for="ch" forName="text3" refType="w" refFor="ch" refForName="text3" fact="0.635"/>
                              <dgm:constr type="t" for="ch" forName="text3" refType="w" fact="0.095"/>
                              <dgm:constr type="l" for="ch" forName="text3" refType="w" fact="0.1"/>
                            </dgm:constrLst>
                            <dgm:ruleLst/>
                            <dgm:layoutNode name="background3" moveWith="text3">
                              <dgm:alg type="sp"/>
                              <dgm:shape xmlns:r="http://schemas.openxmlformats.org/officeDocument/2006/relationships" type="roundRect" r:blip="">
                                <dgm:adjLst>
                                  <dgm:adj idx="1" val="0.1"/>
                                </dgm:adjLst>
                              </dgm:shape>
                              <dgm:presOf/>
                              <dgm:constrLst/>
                              <dgm:ruleLst/>
                            </dgm:layoutNode>
                            <dgm:layoutNode name="text3" styleLbl="fgAcc3">
                              <dgm:varLst>
                                <dgm:chPref val="3"/>
                              </dgm:varLst>
                              <dgm:alg type="tx"/>
                              <dgm:shape xmlns:r="http://schemas.openxmlformats.org/officeDocument/2006/relationships" type="roundRect" r:blip="">
                                <dgm:adjLst>
                                  <dgm:adj idx="1" val="0.1"/>
                                </dgm:adjLst>
                              </dgm:shape>
                              <dgm:presOf axis="self"/>
                              <dgm:constrLst>
                                <dgm:constr type="tMarg" refType="primFontSz" fact="0.3"/>
                                <dgm:constr type="bMarg" refType="primFontSz" fact="0.3"/>
                                <dgm:constr type="lMarg" refType="primFontSz" fact="0.3"/>
                                <dgm:constr type="rMarg" refType="primFontSz" fact="0.3"/>
                              </dgm:constrLst>
                              <dgm:ruleLst>
                                <dgm:rule type="primFontSz" val="5" fact="NaN" max="NaN"/>
                              </dgm:ruleLst>
                            </dgm:layoutNode>
                          </dgm:layoutNode>
                          <dgm:layoutNode name="hierChild4">
                            <dgm:choose name="Name19">
                              <dgm:if name="Name20" func="var" arg="dir" op="equ" val="norm">
                                <dgm:alg type="hierChild">
                                  <dgm:param type="linDir" val="fromL"/>
                                </dgm:alg>
                              </dgm:if>
                              <dgm:else name="Name21">
                                <dgm:alg type="hierChild">
                                  <dgm:param type="linDir" val="fromR"/>
                                </dgm:alg>
                              </dgm:else>
                            </dgm:choose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/>
                            <dgm:ruleLst/>
                            <dgm:forEach name="repeat" axis="ch">
                              <dgm:forEach name="Name22" axis="self" ptType="parTrans" cnt="1">
                                <dgm:layoutNode name="Name23">
                                  <dgm:choose name="Name24">
                                    <dgm:if name="Name25" axis="self" func="depth" op="lte" val="4">
                                      <dgm:alg type="conn">
                                        <dgm:param type="dim" val="1D"/>
                                        <dgm:param type="endSty" val="noArr"/>
                                        <dgm:param type="connRout" val="bend"/>
                                        <dgm:param type="bendPt" val="end"/>
                                        <dgm:param type="begPts" val="bCtr"/>
                                        <dgm:param type="endPts" val="tCtr"/>
                                        <dgm:param type="srcNode" val="background3"/>
                                        <dgm:param type="dstNode" val="background4"/>
                                      </dgm:alg>
                                    </dgm:if>
                                    <dgm:else name="Name26">
                                      <dgm:alg type="conn">
                                        <dgm:param type="dim" val="1D"/>
                                        <dgm:param type="endSty" val="noArr"/>
                                        <dgm:param type="connRout" val="bend"/>
                                        <dgm:param type="bendPt" val="end"/>
                                        <dgm:param type="begPts" val="bCtr"/>
                                        <dgm:param type="endPts" val="tCtr"/>
                                        <dgm:param type="srcNode" val="background4"/>
                                        <dgm:param type="dstNode" val="background4"/>
                                      </dgm:alg>
                                    </dgm:else>
                                  </dgm:choose>
                                  <dgm:shape xmlns:r="http://schemas.openxmlformats.org/officeDocument/2006/relationships" type="conn" r:blip="" zOrderOff="-999">
                                    <dgm:adjLst/>
                                  </dgm:shape>
                                  <dgm:presOf axis="self"/>
                                  <dgm:constrLst>
                                    <dgm:constr type="begPad"/>
                                    <dgm:constr type="endPad"/>
                                  </dgm:constrLst>
                                  <dgm:ruleLst/>
                                </dgm:layoutNode>
                              </dgm:forEach>
                              <dgm:forEach name="Name27" axis="self" ptType="node">
                                <dgm:layoutNode name="hierRoot4">
                                  <dgm:alg type="hierRoot"/>
                                  <dgm:shape xmlns:r="http://schemas.openxmlformats.org/officeDocument/2006/relationships" r:blip="">
                                    <dgm:adjLst/>
                                  </dgm:shape>
                                  <dgm:presOf/>
                                  <dgm:constrLst>
                                    <dgm:constr type="bendDist" for="des" ptType="parTrans" refType="sp" fact="0.5"/>
                                  </dgm:constrLst>
                                  <dgm:ruleLst/>
                                  <dgm:layoutNode name="composite4">
                                    <dgm:alg type="composite"/>
                                    <dgm:shape xmlns:r="http://schemas.openxmlformats.org/officeDocument/2006/relationships" r:blip="">
                                      <dgm:adjLst/>
                                    </dgm:shape>
                                    <dgm:presOf/>
                                    <dgm:constrLst>
                                      <dgm:constr type="w" for="ch" forName="background4" refType="w" fact="0.9"/>
                                      <dgm:constr type="h" for="ch" forName="background4" refType="w" refFor="ch" refForName="background4" fact="0.635"/>
                                      <dgm:constr type="t" for="ch" forName="background4"/>
                                      <dgm:constr type="l" for="ch" forName="background4"/>
                                      <dgm:constr type="w" for="ch" forName="text4" refType="w" fact="0.9"/>
                                      <dgm:constr type="h" for="ch" forName="text4" refType="w" refFor="ch" refForName="text4" fact="0.635"/>
                                      <dgm:constr type="t" for="ch" forName="text4" refType="w" fact="0.095"/>
                                      <dgm:constr type="l" for="ch" forName="text4" refType="w" fact="0.1"/>
                                    </dgm:constrLst>
                                    <dgm:ruleLst/>
                                    <dgm:layoutNode name="background4" moveWith="text4">
                                      <dgm:alg type="sp"/>
                                      <dgm:shape xmlns:r="http://schemas.openxmlformats.org/officeDocument/2006/relationships" type="roundRect" r:blip="">
                                        <dgm:adjLst>
                                          <dgm:adj idx="1" val="0.1"/>
                                        </dgm:adjLst>
                                      </dgm:shape>
                                      <dgm:presOf/>
                                      <dgm:constrLst/>
                                      <dgm:ruleLst/>
                                    </dgm:layoutNode>
                                    <dgm:layoutNode name="text4" styleLbl="fgAcc4">
                                      <dgm:varLst>
                                        <dgm:chPref val="3"/>
                                      </dgm:varLst>
                                      <dgm:alg type="tx"/>
                                      <dgm:shape xmlns:r="http://schemas.openxmlformats.org/officeDocument/2006/relationships" type="roundRect" r:blip="">
                                        <dgm:adjLst>
                                          <dgm:adj idx="1" val="0.1"/>
                                        </dgm:adjLst>
                                      </dgm:shape>
                                      <dgm:presOf axis="self"/>
                                      <dgm:constrLst>
                                        <dgm:constr type="tMarg" refType="primFontSz" fact="0.3"/>
                                        <dgm:constr type="bMarg" refType="primFontSz" fact="0.3"/>
                                        <dgm:constr type="lMarg" refType="primFontSz" fact="0.3"/>
                                        <dgm:constr type="rMarg" refType="primFontSz" fact="0.3"/>
                                      </dgm:constrLst>
                                      <dgm:ruleLst>
                                        <dgm:rule type="primFontSz" val="5" fact="NaN" max="NaN"/>
                                      </dgm:ruleLst>
                                    </dgm:layoutNode>
                                  </dgm:layoutNode>
                                  <dgm:layoutNode name="hierChild5">
                                    <dgm:choose name="Name28">
                                      <dgm:if name="Name29" func="var" arg="dir" op="equ" val="norm">
                                        <dgm:alg type="hierChild">
                                          <dgm:param type="linDir" val="fromL"/>
                                        </dgm:alg>
                                      </dgm:if>
                                      <dgm:else name="Name30">
                                        <dgm:alg type="hierChild">
                                          <dgm:param type="linDir" val="fromR"/>
                                        </dgm:alg>
                                      </dgm:else>
                                    </dgm:choose>
                                    <dgm:shape xmlns:r="http://schemas.openxmlformats.org/officeDocument/2006/relationships" r:blip="">
                                      <dgm:adjLst/>
                                    </dgm:shape>
                                    <dgm:presOf/>
                                    <dgm:constrLst/>
                                    <dgm:ruleLst/>
                                    <dgm:forEach name="Name31" ref="repeat"/>
                                  </dgm:layoutNode>
                                </dgm:layoutNode>
                              </dgm:forEach>
                            </dgm:forEach>
                          </dgm:layoutNode>
                        </dgm:layoutNode>
                      </dgm:forEach>
                    </dgm:forEach>
                  </dgm:layoutNode>
                </dgm:layoutNode>
              </dgm:forEach>
            </dgm:forEach>
          </dgm:layoutNode>
        </dgm:layoutNode>
      </dgm:forEach>
    </dgm:forEach>
  </dgm:layoutNode>
</dgm:layoutDef>
</file>

<file path=xl/diagrams/layout2.xml><?xml version="1.0" encoding="utf-8"?>
<dgm:layoutDef xmlns:dgm="http://schemas.openxmlformats.org/drawingml/2006/diagram" xmlns:a="http://schemas.openxmlformats.org/drawingml/2006/main" uniqueId="urn:microsoft.com/office/officeart/2005/8/layout/hierarchy1">
  <dgm:title val=""/>
  <dgm:desc val=""/>
  <dgm:catLst>
    <dgm:cat type="hierarchy" pri="20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21">
          <dgm:prSet phldr="1"/>
        </dgm:pt>
        <dgm:pt modelId="22">
          <dgm:prSet phldr="1"/>
        </dgm:pt>
        <dgm:pt modelId="3">
          <dgm:prSet phldr="1"/>
        </dgm:pt>
        <dgm:pt modelId="31">
          <dgm:prSet phldr="1"/>
        </dgm:pt>
      </dgm:ptLst>
      <dgm:cxnLst>
        <dgm:cxn modelId="4" srcId="0" destId="1" srcOrd="0" destOrd="0"/>
        <dgm:cxn modelId="5" srcId="1" destId="2" srcOrd="0" destOrd="0"/>
        <dgm:cxn modelId="6" srcId="1" destId="3" srcOrd="1" destOrd="0"/>
        <dgm:cxn modelId="23" srcId="2" destId="21" srcOrd="0" destOrd="0"/>
        <dgm:cxn modelId="24" srcId="2" destId="22" srcOrd="1" destOrd="0"/>
        <dgm:cxn modelId="33" srcId="3" destId="31" srcOrd="0" destOrd="0"/>
      </dgm:cxnLst>
      <dgm:bg/>
      <dgm:whole/>
    </dgm:dataModel>
  </dgm:sampData>
  <dgm:styleData>
    <dgm:dataModel>
      <dgm:ptLst>
        <dgm:pt modelId="0" type="doc"/>
        <dgm:pt modelId="1"/>
        <dgm:pt modelId="11"/>
        <dgm:pt modelId="12"/>
      </dgm:ptLst>
      <dgm:cxnLst>
        <dgm:cxn modelId="2" srcId="0" destId="1" srcOrd="0" destOrd="0"/>
        <dgm:cxn modelId="13" srcId="1" destId="11" srcOrd="0" destOrd="0"/>
        <dgm:cxn modelId="14" srcId="1" destId="1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21"/>
        <dgm:pt modelId="211"/>
        <dgm:pt modelId="3"/>
        <dgm:pt modelId="31"/>
        <dgm:pt modelId="311"/>
      </dgm:ptLst>
      <dgm:cxnLst>
        <dgm:cxn modelId="4" srcId="0" destId="1" srcOrd="0" destOrd="0"/>
        <dgm:cxn modelId="5" srcId="1" destId="2" srcOrd="0" destOrd="0"/>
        <dgm:cxn modelId="6" srcId="1" destId="3" srcOrd="1" destOrd="0"/>
        <dgm:cxn modelId="23" srcId="2" destId="21" srcOrd="0" destOrd="0"/>
        <dgm:cxn modelId="24" srcId="21" destId="211" srcOrd="0" destOrd="0"/>
        <dgm:cxn modelId="33" srcId="3" destId="31" srcOrd="0" destOrd="0"/>
        <dgm:cxn modelId="34" srcId="31" destId="311" srcOrd="0" destOrd="0"/>
      </dgm:cxnLst>
      <dgm:bg/>
      <dgm:whole/>
    </dgm:dataModel>
  </dgm:clrData>
  <dgm:layoutNode name="hierChild1">
    <dgm:varLst>
      <dgm:chPref val="1"/>
      <dgm:dir/>
      <dgm:animOne val="branch"/>
      <dgm:animLvl val="lvl"/>
      <dgm:resizeHandles/>
    </dgm:varLst>
    <dgm:choose name="Name0">
      <dgm:if name="Name1" func="var" arg="dir" op="equ" val="norm">
        <dgm:alg type="hierChild">
          <dgm:param type="linDir" val="fromL"/>
        </dgm:alg>
      </dgm:if>
      <dgm:else name="Name2">
        <dgm:alg type="hierChild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primFontSz" for="des" ptType="node" op="equ" val="65"/>
      <dgm:constr type="w" for="des" forName="composite" refType="w"/>
      <dgm:constr type="h" for="des" forName="composite" refType="w" refFor="des" refForName="composite" fact="0.667"/>
      <dgm:constr type="w" for="des" forName="composite2" refType="w" refFor="des" refForName="composite"/>
      <dgm:constr type="h" for="des" forName="composite2" refType="h" refFor="des" refForName="composite"/>
      <dgm:constr type="w" for="des" forName="composite3" refType="w" refFor="des" refForName="composite"/>
      <dgm:constr type="h" for="des" forName="composite3" refType="h" refFor="des" refForName="composite"/>
      <dgm:constr type="w" for="des" forName="composite4" refType="w" refFor="des" refForName="composite"/>
      <dgm:constr type="h" for="des" forName="composite4" refType="h" refFor="des" refForName="composite"/>
      <dgm:constr type="w" for="des" forName="composite5" refType="w" refFor="des" refForName="composite"/>
      <dgm:constr type="h" for="des" forName="composite5" refType="h" refFor="des" refForName="composite"/>
      <dgm:constr type="sibSp" refType="w" refFor="des" refForName="composite" fact="0.1"/>
      <dgm:constr type="sibSp" for="des" forName="hierChild2" refType="sibSp"/>
      <dgm:constr type="sibSp" for="des" forName="hierChild3" refType="sibSp"/>
      <dgm:constr type="sibSp" for="des" forName="hierChild4" refType="sibSp"/>
      <dgm:constr type="sibSp" for="des" forName="hierChild5" refType="sibSp"/>
      <dgm:constr type="sibSp" for="des" forName="hierChild6" refType="sibSp"/>
      <dgm:constr type="sp" for="des" forName="hierRoot1" refType="h" refFor="des" refForName="composite" fact="0.25"/>
      <dgm:constr type="sp" for="des" forName="hierRoot2" refType="sp" refFor="des" refForName="hierRoot1"/>
      <dgm:constr type="sp" for="des" forName="hierRoot3" refType="sp" refFor="des" refForName="hierRoot1"/>
      <dgm:constr type="sp" for="des" forName="hierRoot4" refType="sp" refFor="des" refForName="hierRoot1"/>
      <dgm:constr type="sp" for="des" forName="hierRoot5" refType="sp" refFor="des" refForName="hierRoot1"/>
    </dgm:constrLst>
    <dgm:ruleLst/>
    <dgm:forEach name="Name3" axis="ch">
      <dgm:forEach name="Name4" axis="self" ptType="node">
        <dgm:layoutNode name="hierRoot1">
          <dgm:alg type="hierRoot"/>
          <dgm:shape xmlns:r="http://schemas.openxmlformats.org/officeDocument/2006/relationships" r:blip="">
            <dgm:adjLst/>
          </dgm:shape>
          <dgm:presOf/>
          <dgm:constrLst>
            <dgm:constr type="bendDist" for="des" ptType="parTrans" refType="sp" fact="0.5"/>
          </dgm:constrLst>
          <dgm:ruleLst/>
          <dgm:layoutNode name="composite">
            <dgm:alg type="composite"/>
            <dgm:shape xmlns:r="http://schemas.openxmlformats.org/officeDocument/2006/relationships" r:blip="">
              <dgm:adjLst/>
            </dgm:shape>
            <dgm:presOf/>
            <dgm:constrLst>
              <dgm:constr type="w" for="ch" forName="background" refType="w" fact="0.9"/>
              <dgm:constr type="h" for="ch" forName="background" refType="w" refFor="ch" refForName="background" fact="0.635"/>
              <dgm:constr type="t" for="ch" forName="background"/>
              <dgm:constr type="l" for="ch" forName="background"/>
              <dgm:constr type="w" for="ch" forName="text" refType="w" fact="0.9"/>
              <dgm:constr type="h" for="ch" forName="text" refType="w" refFor="ch" refForName="text" fact="0.635"/>
              <dgm:constr type="t" for="ch" forName="text" refType="w" fact="0.095"/>
              <dgm:constr type="l" for="ch" forName="text" refType="w" fact="0.1"/>
            </dgm:constrLst>
            <dgm:ruleLst/>
            <dgm:layoutNode name="background" styleLbl="node0" moveWith="text">
              <dgm:alg type="sp"/>
              <dgm:shape xmlns:r="http://schemas.openxmlformats.org/officeDocument/2006/relationships" type="roundRect" r:blip="">
                <dgm:adjLst>
                  <dgm:adj idx="1" val="0.1"/>
                </dgm:adjLst>
              </dgm:shape>
              <dgm:presOf/>
              <dgm:constrLst/>
              <dgm:ruleLst/>
            </dgm:layoutNode>
            <dgm:layoutNode name="text" styleLbl="fgAcc0">
              <dgm:varLst>
                <dgm:chPref val="3"/>
              </dgm:varLst>
              <dgm:alg type="tx"/>
              <dgm:shape xmlns:r="http://schemas.openxmlformats.org/officeDocument/2006/relationships" type="roundRect" r:blip="">
                <dgm:adjLst>
                  <dgm:adj idx="1" val="0.1"/>
                </dgm:adjLst>
              </dgm:shape>
              <dgm:presOf axis="self"/>
              <dgm:constrLst>
                <dgm:constr type="tMarg" refType="primFontSz" fact="0.3"/>
                <dgm:constr type="bMarg" refType="primFontSz" fact="0.3"/>
                <dgm:constr type="lMarg" refType="primFontSz" fact="0.3"/>
                <dgm:constr type="rMarg" refType="primFontSz" fact="0.3"/>
              </dgm:constrLst>
              <dgm:ruleLst>
                <dgm:rule type="primFontSz" val="5" fact="NaN" max="NaN"/>
              </dgm:ruleLst>
            </dgm:layoutNode>
          </dgm:layoutNode>
          <dgm:layoutNode name="hierChild2">
            <dgm:choose name="Name5">
              <dgm:if name="Name6" func="var" arg="dir" op="equ" val="norm">
                <dgm:alg type="hierChild">
                  <dgm:param type="linDir" val="fromL"/>
                </dgm:alg>
              </dgm:if>
              <dgm:else name="Name7">
                <dgm:alg type="hierChild">
                  <dgm:param type="linDir" val="fromR"/>
                </dgm:alg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Name8" axis="ch">
              <dgm:forEach name="Name9" axis="self" ptType="parTrans" cnt="1">
                <dgm:layoutNode name="Name10">
                  <dgm:alg type="conn">
                    <dgm:param type="dim" val="1D"/>
                    <dgm:param type="endSty" val="noArr"/>
                    <dgm:param type="connRout" val="bend"/>
                    <dgm:param type="bendPt" val="end"/>
                    <dgm:param type="begPts" val="bCtr"/>
                    <dgm:param type="endPts" val="tCtr"/>
                    <dgm:param type="srcNode" val="background"/>
                    <dgm:param type="dstNode" val="background2"/>
                  </dgm:alg>
                  <dgm:shape xmlns:r="http://schemas.openxmlformats.org/officeDocument/2006/relationships" type="conn" r:blip="" zOrderOff="-999">
                    <dgm:adjLst/>
                  </dgm:shape>
                  <dgm:presOf axis="self"/>
                  <dgm:constrLst>
                    <dgm:constr type="begPad"/>
                    <dgm:constr type="endPad"/>
                  </dgm:constrLst>
                  <dgm:ruleLst/>
                </dgm:layoutNode>
              </dgm:forEach>
              <dgm:forEach name="Name11" axis="self" ptType="node">
                <dgm:layoutNode name="hierRoot2">
                  <dgm:alg type="hierRoot"/>
                  <dgm:shape xmlns:r="http://schemas.openxmlformats.org/officeDocument/2006/relationships" r:blip="">
                    <dgm:adjLst/>
                  </dgm:shape>
                  <dgm:presOf/>
                  <dgm:constrLst>
                    <dgm:constr type="bendDist" for="des" ptType="parTrans" refType="sp" fact="0.5"/>
                  </dgm:constrLst>
                  <dgm:ruleLst/>
                  <dgm:layoutNode name="composite2">
                    <dgm:alg type="composite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w" for="ch" forName="background2" refType="w" fact="0.9"/>
                      <dgm:constr type="h" for="ch" forName="background2" refType="w" refFor="ch" refForName="background2" fact="0.635"/>
                      <dgm:constr type="t" for="ch" forName="background2"/>
                      <dgm:constr type="l" for="ch" forName="background2"/>
                      <dgm:constr type="w" for="ch" forName="text2" refType="w" fact="0.9"/>
                      <dgm:constr type="h" for="ch" forName="text2" refType="w" refFor="ch" refForName="text2" fact="0.635"/>
                      <dgm:constr type="t" for="ch" forName="text2" refType="w" fact="0.095"/>
                      <dgm:constr type="l" for="ch" forName="text2" refType="w" fact="0.1"/>
                    </dgm:constrLst>
                    <dgm:ruleLst/>
                    <dgm:layoutNode name="background2" moveWith="text2">
                      <dgm:alg type="sp"/>
                      <dgm:shape xmlns:r="http://schemas.openxmlformats.org/officeDocument/2006/relationships" type="roundRect" r:blip="">
                        <dgm:adjLst>
                          <dgm:adj idx="1" val="0.1"/>
                        </dgm:adjLst>
                      </dgm:shape>
                      <dgm:presOf/>
                      <dgm:constrLst/>
                      <dgm:ruleLst/>
                    </dgm:layoutNode>
                    <dgm:layoutNode name="text2" styleLbl="fgAcc2">
                      <dgm:varLst>
                        <dgm:chPref val="3"/>
                      </dgm:varLst>
                      <dgm:alg type="tx"/>
                      <dgm:shape xmlns:r="http://schemas.openxmlformats.org/officeDocument/2006/relationships" type="roundRect" r:blip="">
                        <dgm:adjLst>
                          <dgm:adj idx="1" val="0.1"/>
                        </dgm:adjLst>
                      </dgm:shape>
                      <dgm:presOf axis="self"/>
                      <dgm:constrLst>
                        <dgm:constr type="tMarg" refType="primFontSz" fact="0.3"/>
                        <dgm:constr type="bMarg" refType="primFontSz" fact="0.3"/>
                        <dgm:constr type="lMarg" refType="primFontSz" fact="0.3"/>
                        <dgm:constr type="rMarg" refType="primFontSz" fact="0.3"/>
                      </dgm:constrLst>
                      <dgm:ruleLst>
                        <dgm:rule type="primFontSz" val="5" fact="NaN" max="NaN"/>
                      </dgm:ruleLst>
                    </dgm:layoutNode>
                  </dgm:layoutNode>
                  <dgm:layoutNode name="hierChild3">
                    <dgm:choose name="Name12">
                      <dgm:if name="Name13" func="var" arg="dir" op="equ" val="norm">
                        <dgm:alg type="hierChild">
                          <dgm:param type="linDir" val="fromL"/>
                        </dgm:alg>
                      </dgm:if>
                      <dgm:else name="Name14">
                        <dgm:alg type="hierChild">
                          <dgm:param type="linDir" val="fromR"/>
                        </dgm:alg>
                      </dgm:else>
                    </dgm:choose>
                    <dgm:shape xmlns:r="http://schemas.openxmlformats.org/officeDocument/2006/relationships" r:blip="">
                      <dgm:adjLst/>
                    </dgm:shape>
                    <dgm:presOf/>
                    <dgm:constrLst/>
                    <dgm:ruleLst/>
                    <dgm:forEach name="Name15" axis="ch">
                      <dgm:forEach name="Name16" axis="self" ptType="parTrans" cnt="1">
                        <dgm:layoutNode name="Name17">
                          <dgm:alg type="conn">
                            <dgm:param type="dim" val="1D"/>
                            <dgm:param type="endSty" val="noArr"/>
                            <dgm:param type="connRout" val="bend"/>
                            <dgm:param type="bendPt" val="end"/>
                            <dgm:param type="begPts" val="bCtr"/>
                            <dgm:param type="endPts" val="tCtr"/>
                            <dgm:param type="srcNode" val="background2"/>
                            <dgm:param type="dstNode" val="background3"/>
                          </dgm:alg>
                          <dgm:shape xmlns:r="http://schemas.openxmlformats.org/officeDocument/2006/relationships" type="conn" r:blip="" zOrderOff="-999">
                            <dgm:adjLst/>
                          </dgm:shape>
                          <dgm:presOf axis="self"/>
                          <dgm:constrLst>
                            <dgm:constr type="begPad"/>
                            <dgm:constr type="endPad"/>
                          </dgm:constrLst>
                          <dgm:ruleLst/>
                        </dgm:layoutNode>
                      </dgm:forEach>
                      <dgm:forEach name="Name18" axis="self" ptType="node">
                        <dgm:layoutNode name="hierRoot3">
                          <dgm:alg type="hierRoot"/>
                          <dgm:shape xmlns:r="http://schemas.openxmlformats.org/officeDocument/2006/relationships" r:blip="">
                            <dgm:adjLst/>
                          </dgm:shape>
                          <dgm:presOf/>
                          <dgm:constrLst>
                            <dgm:constr type="bendDist" for="des" ptType="parTrans" refType="sp" fact="0.5"/>
                          </dgm:constrLst>
                          <dgm:ruleLst/>
                          <dgm:layoutNode name="composite3">
                            <dgm:alg type="composite"/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>
                              <dgm:constr type="w" for="ch" forName="background3" refType="w" fact="0.9"/>
                              <dgm:constr type="h" for="ch" forName="background3" refType="w" refFor="ch" refForName="background3" fact="0.635"/>
                              <dgm:constr type="t" for="ch" forName="background3"/>
                              <dgm:constr type="l" for="ch" forName="background3"/>
                              <dgm:constr type="w" for="ch" forName="text3" refType="w" fact="0.9"/>
                              <dgm:constr type="h" for="ch" forName="text3" refType="w" refFor="ch" refForName="text3" fact="0.635"/>
                              <dgm:constr type="t" for="ch" forName="text3" refType="w" fact="0.095"/>
                              <dgm:constr type="l" for="ch" forName="text3" refType="w" fact="0.1"/>
                            </dgm:constrLst>
                            <dgm:ruleLst/>
                            <dgm:layoutNode name="background3" moveWith="text3">
                              <dgm:alg type="sp"/>
                              <dgm:shape xmlns:r="http://schemas.openxmlformats.org/officeDocument/2006/relationships" type="roundRect" r:blip="">
                                <dgm:adjLst>
                                  <dgm:adj idx="1" val="0.1"/>
                                </dgm:adjLst>
                              </dgm:shape>
                              <dgm:presOf/>
                              <dgm:constrLst/>
                              <dgm:ruleLst/>
                            </dgm:layoutNode>
                            <dgm:layoutNode name="text3" styleLbl="fgAcc3">
                              <dgm:varLst>
                                <dgm:chPref val="3"/>
                              </dgm:varLst>
                              <dgm:alg type="tx"/>
                              <dgm:shape xmlns:r="http://schemas.openxmlformats.org/officeDocument/2006/relationships" type="roundRect" r:blip="">
                                <dgm:adjLst>
                                  <dgm:adj idx="1" val="0.1"/>
                                </dgm:adjLst>
                              </dgm:shape>
                              <dgm:presOf axis="self"/>
                              <dgm:constrLst>
                                <dgm:constr type="tMarg" refType="primFontSz" fact="0.3"/>
                                <dgm:constr type="bMarg" refType="primFontSz" fact="0.3"/>
                                <dgm:constr type="lMarg" refType="primFontSz" fact="0.3"/>
                                <dgm:constr type="rMarg" refType="primFontSz" fact="0.3"/>
                              </dgm:constrLst>
                              <dgm:ruleLst>
                                <dgm:rule type="primFontSz" val="5" fact="NaN" max="NaN"/>
                              </dgm:ruleLst>
                            </dgm:layoutNode>
                          </dgm:layoutNode>
                          <dgm:layoutNode name="hierChild4">
                            <dgm:choose name="Name19">
                              <dgm:if name="Name20" func="var" arg="dir" op="equ" val="norm">
                                <dgm:alg type="hierChild">
                                  <dgm:param type="linDir" val="fromL"/>
                                </dgm:alg>
                              </dgm:if>
                              <dgm:else name="Name21">
                                <dgm:alg type="hierChild">
                                  <dgm:param type="linDir" val="fromR"/>
                                </dgm:alg>
                              </dgm:else>
                            </dgm:choose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/>
                            <dgm:ruleLst/>
                            <dgm:forEach name="repeat" axis="ch">
                              <dgm:forEach name="Name22" axis="self" ptType="parTrans" cnt="1">
                                <dgm:layoutNode name="Name23">
                                  <dgm:choose name="Name24">
                                    <dgm:if name="Name25" axis="self" func="depth" op="lte" val="4">
                                      <dgm:alg type="conn">
                                        <dgm:param type="dim" val="1D"/>
                                        <dgm:param type="endSty" val="noArr"/>
                                        <dgm:param type="connRout" val="bend"/>
                                        <dgm:param type="bendPt" val="end"/>
                                        <dgm:param type="begPts" val="bCtr"/>
                                        <dgm:param type="endPts" val="tCtr"/>
                                        <dgm:param type="srcNode" val="background3"/>
                                        <dgm:param type="dstNode" val="background4"/>
                                      </dgm:alg>
                                    </dgm:if>
                                    <dgm:else name="Name26">
                                      <dgm:alg type="conn">
                                        <dgm:param type="dim" val="1D"/>
                                        <dgm:param type="endSty" val="noArr"/>
                                        <dgm:param type="connRout" val="bend"/>
                                        <dgm:param type="bendPt" val="end"/>
                                        <dgm:param type="begPts" val="bCtr"/>
                                        <dgm:param type="endPts" val="tCtr"/>
                                        <dgm:param type="srcNode" val="background4"/>
                                        <dgm:param type="dstNode" val="background4"/>
                                      </dgm:alg>
                                    </dgm:else>
                                  </dgm:choose>
                                  <dgm:shape xmlns:r="http://schemas.openxmlformats.org/officeDocument/2006/relationships" type="conn" r:blip="" zOrderOff="-999">
                                    <dgm:adjLst/>
                                  </dgm:shape>
                                  <dgm:presOf axis="self"/>
                                  <dgm:constrLst>
                                    <dgm:constr type="begPad"/>
                                    <dgm:constr type="endPad"/>
                                  </dgm:constrLst>
                                  <dgm:ruleLst/>
                                </dgm:layoutNode>
                              </dgm:forEach>
                              <dgm:forEach name="Name27" axis="self" ptType="node">
                                <dgm:layoutNode name="hierRoot4">
                                  <dgm:alg type="hierRoot"/>
                                  <dgm:shape xmlns:r="http://schemas.openxmlformats.org/officeDocument/2006/relationships" r:blip="">
                                    <dgm:adjLst/>
                                  </dgm:shape>
                                  <dgm:presOf/>
                                  <dgm:constrLst>
                                    <dgm:constr type="bendDist" for="des" ptType="parTrans" refType="sp" fact="0.5"/>
                                  </dgm:constrLst>
                                  <dgm:ruleLst/>
                                  <dgm:layoutNode name="composite4">
                                    <dgm:alg type="composite"/>
                                    <dgm:shape xmlns:r="http://schemas.openxmlformats.org/officeDocument/2006/relationships" r:blip="">
                                      <dgm:adjLst/>
                                    </dgm:shape>
                                    <dgm:presOf/>
                                    <dgm:constrLst>
                                      <dgm:constr type="w" for="ch" forName="background4" refType="w" fact="0.9"/>
                                      <dgm:constr type="h" for="ch" forName="background4" refType="w" refFor="ch" refForName="background4" fact="0.635"/>
                                      <dgm:constr type="t" for="ch" forName="background4"/>
                                      <dgm:constr type="l" for="ch" forName="background4"/>
                                      <dgm:constr type="w" for="ch" forName="text4" refType="w" fact="0.9"/>
                                      <dgm:constr type="h" for="ch" forName="text4" refType="w" refFor="ch" refForName="text4" fact="0.635"/>
                                      <dgm:constr type="t" for="ch" forName="text4" refType="w" fact="0.095"/>
                                      <dgm:constr type="l" for="ch" forName="text4" refType="w" fact="0.1"/>
                                    </dgm:constrLst>
                                    <dgm:ruleLst/>
                                    <dgm:layoutNode name="background4" moveWith="text4">
                                      <dgm:alg type="sp"/>
                                      <dgm:shape xmlns:r="http://schemas.openxmlformats.org/officeDocument/2006/relationships" type="roundRect" r:blip="">
                                        <dgm:adjLst>
                                          <dgm:adj idx="1" val="0.1"/>
                                        </dgm:adjLst>
                                      </dgm:shape>
                                      <dgm:presOf/>
                                      <dgm:constrLst/>
                                      <dgm:ruleLst/>
                                    </dgm:layoutNode>
                                    <dgm:layoutNode name="text4" styleLbl="fgAcc4">
                                      <dgm:varLst>
                                        <dgm:chPref val="3"/>
                                      </dgm:varLst>
                                      <dgm:alg type="tx"/>
                                      <dgm:shape xmlns:r="http://schemas.openxmlformats.org/officeDocument/2006/relationships" type="roundRect" r:blip="">
                                        <dgm:adjLst>
                                          <dgm:adj idx="1" val="0.1"/>
                                        </dgm:adjLst>
                                      </dgm:shape>
                                      <dgm:presOf axis="self"/>
                                      <dgm:constrLst>
                                        <dgm:constr type="tMarg" refType="primFontSz" fact="0.3"/>
                                        <dgm:constr type="bMarg" refType="primFontSz" fact="0.3"/>
                                        <dgm:constr type="lMarg" refType="primFontSz" fact="0.3"/>
                                        <dgm:constr type="rMarg" refType="primFontSz" fact="0.3"/>
                                      </dgm:constrLst>
                                      <dgm:ruleLst>
                                        <dgm:rule type="primFontSz" val="5" fact="NaN" max="NaN"/>
                                      </dgm:ruleLst>
                                    </dgm:layoutNode>
                                  </dgm:layoutNode>
                                  <dgm:layoutNode name="hierChild5">
                                    <dgm:choose name="Name28">
                                      <dgm:if name="Name29" func="var" arg="dir" op="equ" val="norm">
                                        <dgm:alg type="hierChild">
                                          <dgm:param type="linDir" val="fromL"/>
                                        </dgm:alg>
                                      </dgm:if>
                                      <dgm:else name="Name30">
                                        <dgm:alg type="hierChild">
                                          <dgm:param type="linDir" val="fromR"/>
                                        </dgm:alg>
                                      </dgm:else>
                                    </dgm:choose>
                                    <dgm:shape xmlns:r="http://schemas.openxmlformats.org/officeDocument/2006/relationships" r:blip="">
                                      <dgm:adjLst/>
                                    </dgm:shape>
                                    <dgm:presOf/>
                                    <dgm:constrLst/>
                                    <dgm:ruleLst/>
                                    <dgm:forEach name="Name31" ref="repeat"/>
                                  </dgm:layoutNode>
                                </dgm:layoutNode>
                              </dgm:forEach>
                            </dgm:forEach>
                          </dgm:layoutNode>
                        </dgm:layoutNode>
                      </dgm:forEach>
                    </dgm:forEach>
                  </dgm:layoutNode>
                </dgm:layoutNode>
              </dgm:forEach>
            </dgm:forEach>
          </dgm:layoutNode>
        </dgm:layoutNode>
      </dgm:forEach>
    </dgm:forEach>
  </dgm:layoutNode>
</dgm:layoutDef>
</file>

<file path=xl/diagrams/layout3.xml><?xml version="1.0" encoding="utf-8"?>
<dgm:layoutDef xmlns:dgm="http://schemas.openxmlformats.org/drawingml/2006/diagram" xmlns:a="http://schemas.openxmlformats.org/drawingml/2006/main" uniqueId="urn:microsoft.com/office/officeart/2005/8/layout/hierarchy1">
  <dgm:title val=""/>
  <dgm:desc val=""/>
  <dgm:catLst>
    <dgm:cat type="hierarchy" pri="20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21">
          <dgm:prSet phldr="1"/>
        </dgm:pt>
        <dgm:pt modelId="22">
          <dgm:prSet phldr="1"/>
        </dgm:pt>
        <dgm:pt modelId="3">
          <dgm:prSet phldr="1"/>
        </dgm:pt>
        <dgm:pt modelId="31">
          <dgm:prSet phldr="1"/>
        </dgm:pt>
      </dgm:ptLst>
      <dgm:cxnLst>
        <dgm:cxn modelId="4" srcId="0" destId="1" srcOrd="0" destOrd="0"/>
        <dgm:cxn modelId="5" srcId="1" destId="2" srcOrd="0" destOrd="0"/>
        <dgm:cxn modelId="6" srcId="1" destId="3" srcOrd="1" destOrd="0"/>
        <dgm:cxn modelId="23" srcId="2" destId="21" srcOrd="0" destOrd="0"/>
        <dgm:cxn modelId="24" srcId="2" destId="22" srcOrd="1" destOrd="0"/>
        <dgm:cxn modelId="33" srcId="3" destId="31" srcOrd="0" destOrd="0"/>
      </dgm:cxnLst>
      <dgm:bg/>
      <dgm:whole/>
    </dgm:dataModel>
  </dgm:sampData>
  <dgm:styleData>
    <dgm:dataModel>
      <dgm:ptLst>
        <dgm:pt modelId="0" type="doc"/>
        <dgm:pt modelId="1"/>
        <dgm:pt modelId="11"/>
        <dgm:pt modelId="12"/>
      </dgm:ptLst>
      <dgm:cxnLst>
        <dgm:cxn modelId="2" srcId="0" destId="1" srcOrd="0" destOrd="0"/>
        <dgm:cxn modelId="13" srcId="1" destId="11" srcOrd="0" destOrd="0"/>
        <dgm:cxn modelId="14" srcId="1" destId="1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21"/>
        <dgm:pt modelId="211"/>
        <dgm:pt modelId="3"/>
        <dgm:pt modelId="31"/>
        <dgm:pt modelId="311"/>
      </dgm:ptLst>
      <dgm:cxnLst>
        <dgm:cxn modelId="4" srcId="0" destId="1" srcOrd="0" destOrd="0"/>
        <dgm:cxn modelId="5" srcId="1" destId="2" srcOrd="0" destOrd="0"/>
        <dgm:cxn modelId="6" srcId="1" destId="3" srcOrd="1" destOrd="0"/>
        <dgm:cxn modelId="23" srcId="2" destId="21" srcOrd="0" destOrd="0"/>
        <dgm:cxn modelId="24" srcId="21" destId="211" srcOrd="0" destOrd="0"/>
        <dgm:cxn modelId="33" srcId="3" destId="31" srcOrd="0" destOrd="0"/>
        <dgm:cxn modelId="34" srcId="31" destId="311" srcOrd="0" destOrd="0"/>
      </dgm:cxnLst>
      <dgm:bg/>
      <dgm:whole/>
    </dgm:dataModel>
  </dgm:clrData>
  <dgm:layoutNode name="hierChild1">
    <dgm:varLst>
      <dgm:chPref val="1"/>
      <dgm:dir/>
      <dgm:animOne val="branch"/>
      <dgm:animLvl val="lvl"/>
      <dgm:resizeHandles/>
    </dgm:varLst>
    <dgm:choose name="Name0">
      <dgm:if name="Name1" func="var" arg="dir" op="equ" val="norm">
        <dgm:alg type="hierChild">
          <dgm:param type="linDir" val="fromL"/>
        </dgm:alg>
      </dgm:if>
      <dgm:else name="Name2">
        <dgm:alg type="hierChild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primFontSz" for="des" ptType="node" op="equ" val="65"/>
      <dgm:constr type="w" for="des" forName="composite" refType="w"/>
      <dgm:constr type="h" for="des" forName="composite" refType="w" refFor="des" refForName="composite" fact="0.667"/>
      <dgm:constr type="w" for="des" forName="composite2" refType="w" refFor="des" refForName="composite"/>
      <dgm:constr type="h" for="des" forName="composite2" refType="h" refFor="des" refForName="composite"/>
      <dgm:constr type="w" for="des" forName="composite3" refType="w" refFor="des" refForName="composite"/>
      <dgm:constr type="h" for="des" forName="composite3" refType="h" refFor="des" refForName="composite"/>
      <dgm:constr type="w" for="des" forName="composite4" refType="w" refFor="des" refForName="composite"/>
      <dgm:constr type="h" for="des" forName="composite4" refType="h" refFor="des" refForName="composite"/>
      <dgm:constr type="w" for="des" forName="composite5" refType="w" refFor="des" refForName="composite"/>
      <dgm:constr type="h" for="des" forName="composite5" refType="h" refFor="des" refForName="composite"/>
      <dgm:constr type="sibSp" refType="w" refFor="des" refForName="composite" fact="0.1"/>
      <dgm:constr type="sibSp" for="des" forName="hierChild2" refType="sibSp"/>
      <dgm:constr type="sibSp" for="des" forName="hierChild3" refType="sibSp"/>
      <dgm:constr type="sibSp" for="des" forName="hierChild4" refType="sibSp"/>
      <dgm:constr type="sibSp" for="des" forName="hierChild5" refType="sibSp"/>
      <dgm:constr type="sibSp" for="des" forName="hierChild6" refType="sibSp"/>
      <dgm:constr type="sp" for="des" forName="hierRoot1" refType="h" refFor="des" refForName="composite" fact="0.25"/>
      <dgm:constr type="sp" for="des" forName="hierRoot2" refType="sp" refFor="des" refForName="hierRoot1"/>
      <dgm:constr type="sp" for="des" forName="hierRoot3" refType="sp" refFor="des" refForName="hierRoot1"/>
      <dgm:constr type="sp" for="des" forName="hierRoot4" refType="sp" refFor="des" refForName="hierRoot1"/>
      <dgm:constr type="sp" for="des" forName="hierRoot5" refType="sp" refFor="des" refForName="hierRoot1"/>
    </dgm:constrLst>
    <dgm:ruleLst/>
    <dgm:forEach name="Name3" axis="ch">
      <dgm:forEach name="Name4" axis="self" ptType="node">
        <dgm:layoutNode name="hierRoot1">
          <dgm:alg type="hierRoot"/>
          <dgm:shape xmlns:r="http://schemas.openxmlformats.org/officeDocument/2006/relationships" r:blip="">
            <dgm:adjLst/>
          </dgm:shape>
          <dgm:presOf/>
          <dgm:constrLst>
            <dgm:constr type="bendDist" for="des" ptType="parTrans" refType="sp" fact="0.5"/>
          </dgm:constrLst>
          <dgm:ruleLst/>
          <dgm:layoutNode name="composite">
            <dgm:alg type="composite"/>
            <dgm:shape xmlns:r="http://schemas.openxmlformats.org/officeDocument/2006/relationships" r:blip="">
              <dgm:adjLst/>
            </dgm:shape>
            <dgm:presOf/>
            <dgm:constrLst>
              <dgm:constr type="w" for="ch" forName="background" refType="w" fact="0.9"/>
              <dgm:constr type="h" for="ch" forName="background" refType="w" refFor="ch" refForName="background" fact="0.635"/>
              <dgm:constr type="t" for="ch" forName="background"/>
              <dgm:constr type="l" for="ch" forName="background"/>
              <dgm:constr type="w" for="ch" forName="text" refType="w" fact="0.9"/>
              <dgm:constr type="h" for="ch" forName="text" refType="w" refFor="ch" refForName="text" fact="0.635"/>
              <dgm:constr type="t" for="ch" forName="text" refType="w" fact="0.095"/>
              <dgm:constr type="l" for="ch" forName="text" refType="w" fact="0.1"/>
            </dgm:constrLst>
            <dgm:ruleLst/>
            <dgm:layoutNode name="background" styleLbl="node0" moveWith="text">
              <dgm:alg type="sp"/>
              <dgm:shape xmlns:r="http://schemas.openxmlformats.org/officeDocument/2006/relationships" type="roundRect" r:blip="">
                <dgm:adjLst>
                  <dgm:adj idx="1" val="0.1"/>
                </dgm:adjLst>
              </dgm:shape>
              <dgm:presOf/>
              <dgm:constrLst/>
              <dgm:ruleLst/>
            </dgm:layoutNode>
            <dgm:layoutNode name="text" styleLbl="fgAcc0">
              <dgm:varLst>
                <dgm:chPref val="3"/>
              </dgm:varLst>
              <dgm:alg type="tx"/>
              <dgm:shape xmlns:r="http://schemas.openxmlformats.org/officeDocument/2006/relationships" type="roundRect" r:blip="">
                <dgm:adjLst>
                  <dgm:adj idx="1" val="0.1"/>
                </dgm:adjLst>
              </dgm:shape>
              <dgm:presOf axis="self"/>
              <dgm:constrLst>
                <dgm:constr type="tMarg" refType="primFontSz" fact="0.3"/>
                <dgm:constr type="bMarg" refType="primFontSz" fact="0.3"/>
                <dgm:constr type="lMarg" refType="primFontSz" fact="0.3"/>
                <dgm:constr type="rMarg" refType="primFontSz" fact="0.3"/>
              </dgm:constrLst>
              <dgm:ruleLst>
                <dgm:rule type="primFontSz" val="5" fact="NaN" max="NaN"/>
              </dgm:ruleLst>
            </dgm:layoutNode>
          </dgm:layoutNode>
          <dgm:layoutNode name="hierChild2">
            <dgm:choose name="Name5">
              <dgm:if name="Name6" func="var" arg="dir" op="equ" val="norm">
                <dgm:alg type="hierChild">
                  <dgm:param type="linDir" val="fromL"/>
                </dgm:alg>
              </dgm:if>
              <dgm:else name="Name7">
                <dgm:alg type="hierChild">
                  <dgm:param type="linDir" val="fromR"/>
                </dgm:alg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Name8" axis="ch">
              <dgm:forEach name="Name9" axis="self" ptType="parTrans" cnt="1">
                <dgm:layoutNode name="Name10">
                  <dgm:alg type="conn">
                    <dgm:param type="dim" val="1D"/>
                    <dgm:param type="endSty" val="noArr"/>
                    <dgm:param type="connRout" val="bend"/>
                    <dgm:param type="bendPt" val="end"/>
                    <dgm:param type="begPts" val="bCtr"/>
                    <dgm:param type="endPts" val="tCtr"/>
                    <dgm:param type="srcNode" val="background"/>
                    <dgm:param type="dstNode" val="background2"/>
                  </dgm:alg>
                  <dgm:shape xmlns:r="http://schemas.openxmlformats.org/officeDocument/2006/relationships" type="conn" r:blip="" zOrderOff="-999">
                    <dgm:adjLst/>
                  </dgm:shape>
                  <dgm:presOf axis="self"/>
                  <dgm:constrLst>
                    <dgm:constr type="begPad"/>
                    <dgm:constr type="endPad"/>
                  </dgm:constrLst>
                  <dgm:ruleLst/>
                </dgm:layoutNode>
              </dgm:forEach>
              <dgm:forEach name="Name11" axis="self" ptType="node">
                <dgm:layoutNode name="hierRoot2">
                  <dgm:alg type="hierRoot"/>
                  <dgm:shape xmlns:r="http://schemas.openxmlformats.org/officeDocument/2006/relationships" r:blip="">
                    <dgm:adjLst/>
                  </dgm:shape>
                  <dgm:presOf/>
                  <dgm:constrLst>
                    <dgm:constr type="bendDist" for="des" ptType="parTrans" refType="sp" fact="0.5"/>
                  </dgm:constrLst>
                  <dgm:ruleLst/>
                  <dgm:layoutNode name="composite2">
                    <dgm:alg type="composite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w" for="ch" forName="background2" refType="w" fact="0.9"/>
                      <dgm:constr type="h" for="ch" forName="background2" refType="w" refFor="ch" refForName="background2" fact="0.635"/>
                      <dgm:constr type="t" for="ch" forName="background2"/>
                      <dgm:constr type="l" for="ch" forName="background2"/>
                      <dgm:constr type="w" for="ch" forName="text2" refType="w" fact="0.9"/>
                      <dgm:constr type="h" for="ch" forName="text2" refType="w" refFor="ch" refForName="text2" fact="0.635"/>
                      <dgm:constr type="t" for="ch" forName="text2" refType="w" fact="0.095"/>
                      <dgm:constr type="l" for="ch" forName="text2" refType="w" fact="0.1"/>
                    </dgm:constrLst>
                    <dgm:ruleLst/>
                    <dgm:layoutNode name="background2" moveWith="text2">
                      <dgm:alg type="sp"/>
                      <dgm:shape xmlns:r="http://schemas.openxmlformats.org/officeDocument/2006/relationships" type="roundRect" r:blip="">
                        <dgm:adjLst>
                          <dgm:adj idx="1" val="0.1"/>
                        </dgm:adjLst>
                      </dgm:shape>
                      <dgm:presOf/>
                      <dgm:constrLst/>
                      <dgm:ruleLst/>
                    </dgm:layoutNode>
                    <dgm:layoutNode name="text2" styleLbl="fgAcc2">
                      <dgm:varLst>
                        <dgm:chPref val="3"/>
                      </dgm:varLst>
                      <dgm:alg type="tx"/>
                      <dgm:shape xmlns:r="http://schemas.openxmlformats.org/officeDocument/2006/relationships" type="roundRect" r:blip="">
                        <dgm:adjLst>
                          <dgm:adj idx="1" val="0.1"/>
                        </dgm:adjLst>
                      </dgm:shape>
                      <dgm:presOf axis="self"/>
                      <dgm:constrLst>
                        <dgm:constr type="tMarg" refType="primFontSz" fact="0.3"/>
                        <dgm:constr type="bMarg" refType="primFontSz" fact="0.3"/>
                        <dgm:constr type="lMarg" refType="primFontSz" fact="0.3"/>
                        <dgm:constr type="rMarg" refType="primFontSz" fact="0.3"/>
                      </dgm:constrLst>
                      <dgm:ruleLst>
                        <dgm:rule type="primFontSz" val="5" fact="NaN" max="NaN"/>
                      </dgm:ruleLst>
                    </dgm:layoutNode>
                  </dgm:layoutNode>
                  <dgm:layoutNode name="hierChild3">
                    <dgm:choose name="Name12">
                      <dgm:if name="Name13" func="var" arg="dir" op="equ" val="norm">
                        <dgm:alg type="hierChild">
                          <dgm:param type="linDir" val="fromL"/>
                        </dgm:alg>
                      </dgm:if>
                      <dgm:else name="Name14">
                        <dgm:alg type="hierChild">
                          <dgm:param type="linDir" val="fromR"/>
                        </dgm:alg>
                      </dgm:else>
                    </dgm:choose>
                    <dgm:shape xmlns:r="http://schemas.openxmlformats.org/officeDocument/2006/relationships" r:blip="">
                      <dgm:adjLst/>
                    </dgm:shape>
                    <dgm:presOf/>
                    <dgm:constrLst/>
                    <dgm:ruleLst/>
                    <dgm:forEach name="Name15" axis="ch">
                      <dgm:forEach name="Name16" axis="self" ptType="parTrans" cnt="1">
                        <dgm:layoutNode name="Name17">
                          <dgm:alg type="conn">
                            <dgm:param type="dim" val="1D"/>
                            <dgm:param type="endSty" val="noArr"/>
                            <dgm:param type="connRout" val="bend"/>
                            <dgm:param type="bendPt" val="end"/>
                            <dgm:param type="begPts" val="bCtr"/>
                            <dgm:param type="endPts" val="tCtr"/>
                            <dgm:param type="srcNode" val="background2"/>
                            <dgm:param type="dstNode" val="background3"/>
                          </dgm:alg>
                          <dgm:shape xmlns:r="http://schemas.openxmlformats.org/officeDocument/2006/relationships" type="conn" r:blip="" zOrderOff="-999">
                            <dgm:adjLst/>
                          </dgm:shape>
                          <dgm:presOf axis="self"/>
                          <dgm:constrLst>
                            <dgm:constr type="begPad"/>
                            <dgm:constr type="endPad"/>
                          </dgm:constrLst>
                          <dgm:ruleLst/>
                        </dgm:layoutNode>
                      </dgm:forEach>
                      <dgm:forEach name="Name18" axis="self" ptType="node">
                        <dgm:layoutNode name="hierRoot3">
                          <dgm:alg type="hierRoot"/>
                          <dgm:shape xmlns:r="http://schemas.openxmlformats.org/officeDocument/2006/relationships" r:blip="">
                            <dgm:adjLst/>
                          </dgm:shape>
                          <dgm:presOf/>
                          <dgm:constrLst>
                            <dgm:constr type="bendDist" for="des" ptType="parTrans" refType="sp" fact="0.5"/>
                          </dgm:constrLst>
                          <dgm:ruleLst/>
                          <dgm:layoutNode name="composite3">
                            <dgm:alg type="composite"/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>
                              <dgm:constr type="w" for="ch" forName="background3" refType="w" fact="0.9"/>
                              <dgm:constr type="h" for="ch" forName="background3" refType="w" refFor="ch" refForName="background3" fact="0.635"/>
                              <dgm:constr type="t" for="ch" forName="background3"/>
                              <dgm:constr type="l" for="ch" forName="background3"/>
                              <dgm:constr type="w" for="ch" forName="text3" refType="w" fact="0.9"/>
                              <dgm:constr type="h" for="ch" forName="text3" refType="w" refFor="ch" refForName="text3" fact="0.635"/>
                              <dgm:constr type="t" for="ch" forName="text3" refType="w" fact="0.095"/>
                              <dgm:constr type="l" for="ch" forName="text3" refType="w" fact="0.1"/>
                            </dgm:constrLst>
                            <dgm:ruleLst/>
                            <dgm:layoutNode name="background3" moveWith="text3">
                              <dgm:alg type="sp"/>
                              <dgm:shape xmlns:r="http://schemas.openxmlformats.org/officeDocument/2006/relationships" type="roundRect" r:blip="">
                                <dgm:adjLst>
                                  <dgm:adj idx="1" val="0.1"/>
                                </dgm:adjLst>
                              </dgm:shape>
                              <dgm:presOf/>
                              <dgm:constrLst/>
                              <dgm:ruleLst/>
                            </dgm:layoutNode>
                            <dgm:layoutNode name="text3" styleLbl="fgAcc3">
                              <dgm:varLst>
                                <dgm:chPref val="3"/>
                              </dgm:varLst>
                              <dgm:alg type="tx"/>
                              <dgm:shape xmlns:r="http://schemas.openxmlformats.org/officeDocument/2006/relationships" type="roundRect" r:blip="">
                                <dgm:adjLst>
                                  <dgm:adj idx="1" val="0.1"/>
                                </dgm:adjLst>
                              </dgm:shape>
                              <dgm:presOf axis="self"/>
                              <dgm:constrLst>
                                <dgm:constr type="tMarg" refType="primFontSz" fact="0.3"/>
                                <dgm:constr type="bMarg" refType="primFontSz" fact="0.3"/>
                                <dgm:constr type="lMarg" refType="primFontSz" fact="0.3"/>
                                <dgm:constr type="rMarg" refType="primFontSz" fact="0.3"/>
                              </dgm:constrLst>
                              <dgm:ruleLst>
                                <dgm:rule type="primFontSz" val="5" fact="NaN" max="NaN"/>
                              </dgm:ruleLst>
                            </dgm:layoutNode>
                          </dgm:layoutNode>
                          <dgm:layoutNode name="hierChild4">
                            <dgm:choose name="Name19">
                              <dgm:if name="Name20" func="var" arg="dir" op="equ" val="norm">
                                <dgm:alg type="hierChild">
                                  <dgm:param type="linDir" val="fromL"/>
                                </dgm:alg>
                              </dgm:if>
                              <dgm:else name="Name21">
                                <dgm:alg type="hierChild">
                                  <dgm:param type="linDir" val="fromR"/>
                                </dgm:alg>
                              </dgm:else>
                            </dgm:choose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/>
                            <dgm:ruleLst/>
                            <dgm:forEach name="repeat" axis="ch">
                              <dgm:forEach name="Name22" axis="self" ptType="parTrans" cnt="1">
                                <dgm:layoutNode name="Name23">
                                  <dgm:choose name="Name24">
                                    <dgm:if name="Name25" axis="self" func="depth" op="lte" val="4">
                                      <dgm:alg type="conn">
                                        <dgm:param type="dim" val="1D"/>
                                        <dgm:param type="endSty" val="noArr"/>
                                        <dgm:param type="connRout" val="bend"/>
                                        <dgm:param type="bendPt" val="end"/>
                                        <dgm:param type="begPts" val="bCtr"/>
                                        <dgm:param type="endPts" val="tCtr"/>
                                        <dgm:param type="srcNode" val="background3"/>
                                        <dgm:param type="dstNode" val="background4"/>
                                      </dgm:alg>
                                    </dgm:if>
                                    <dgm:else name="Name26">
                                      <dgm:alg type="conn">
                                        <dgm:param type="dim" val="1D"/>
                                        <dgm:param type="endSty" val="noArr"/>
                                        <dgm:param type="connRout" val="bend"/>
                                        <dgm:param type="bendPt" val="end"/>
                                        <dgm:param type="begPts" val="bCtr"/>
                                        <dgm:param type="endPts" val="tCtr"/>
                                        <dgm:param type="srcNode" val="background4"/>
                                        <dgm:param type="dstNode" val="background4"/>
                                      </dgm:alg>
                                    </dgm:else>
                                  </dgm:choose>
                                  <dgm:shape xmlns:r="http://schemas.openxmlformats.org/officeDocument/2006/relationships" type="conn" r:blip="" zOrderOff="-999">
                                    <dgm:adjLst/>
                                  </dgm:shape>
                                  <dgm:presOf axis="self"/>
                                  <dgm:constrLst>
                                    <dgm:constr type="begPad"/>
                                    <dgm:constr type="endPad"/>
                                  </dgm:constrLst>
                                  <dgm:ruleLst/>
                                </dgm:layoutNode>
                              </dgm:forEach>
                              <dgm:forEach name="Name27" axis="self" ptType="node">
                                <dgm:layoutNode name="hierRoot4">
                                  <dgm:alg type="hierRoot"/>
                                  <dgm:shape xmlns:r="http://schemas.openxmlformats.org/officeDocument/2006/relationships" r:blip="">
                                    <dgm:adjLst/>
                                  </dgm:shape>
                                  <dgm:presOf/>
                                  <dgm:constrLst>
                                    <dgm:constr type="bendDist" for="des" ptType="parTrans" refType="sp" fact="0.5"/>
                                  </dgm:constrLst>
                                  <dgm:ruleLst/>
                                  <dgm:layoutNode name="composite4">
                                    <dgm:alg type="composite"/>
                                    <dgm:shape xmlns:r="http://schemas.openxmlformats.org/officeDocument/2006/relationships" r:blip="">
                                      <dgm:adjLst/>
                                    </dgm:shape>
                                    <dgm:presOf/>
                                    <dgm:constrLst>
                                      <dgm:constr type="w" for="ch" forName="background4" refType="w" fact="0.9"/>
                                      <dgm:constr type="h" for="ch" forName="background4" refType="w" refFor="ch" refForName="background4" fact="0.635"/>
                                      <dgm:constr type="t" for="ch" forName="background4"/>
                                      <dgm:constr type="l" for="ch" forName="background4"/>
                                      <dgm:constr type="w" for="ch" forName="text4" refType="w" fact="0.9"/>
                                      <dgm:constr type="h" for="ch" forName="text4" refType="w" refFor="ch" refForName="text4" fact="0.635"/>
                                      <dgm:constr type="t" for="ch" forName="text4" refType="w" fact="0.095"/>
                                      <dgm:constr type="l" for="ch" forName="text4" refType="w" fact="0.1"/>
                                    </dgm:constrLst>
                                    <dgm:ruleLst/>
                                    <dgm:layoutNode name="background4" moveWith="text4">
                                      <dgm:alg type="sp"/>
                                      <dgm:shape xmlns:r="http://schemas.openxmlformats.org/officeDocument/2006/relationships" type="roundRect" r:blip="">
                                        <dgm:adjLst>
                                          <dgm:adj idx="1" val="0.1"/>
                                        </dgm:adjLst>
                                      </dgm:shape>
                                      <dgm:presOf/>
                                      <dgm:constrLst/>
                                      <dgm:ruleLst/>
                                    </dgm:layoutNode>
                                    <dgm:layoutNode name="text4" styleLbl="fgAcc4">
                                      <dgm:varLst>
                                        <dgm:chPref val="3"/>
                                      </dgm:varLst>
                                      <dgm:alg type="tx"/>
                                      <dgm:shape xmlns:r="http://schemas.openxmlformats.org/officeDocument/2006/relationships" type="roundRect" r:blip="">
                                        <dgm:adjLst>
                                          <dgm:adj idx="1" val="0.1"/>
                                        </dgm:adjLst>
                                      </dgm:shape>
                                      <dgm:presOf axis="self"/>
                                      <dgm:constrLst>
                                        <dgm:constr type="tMarg" refType="primFontSz" fact="0.3"/>
                                        <dgm:constr type="bMarg" refType="primFontSz" fact="0.3"/>
                                        <dgm:constr type="lMarg" refType="primFontSz" fact="0.3"/>
                                        <dgm:constr type="rMarg" refType="primFontSz" fact="0.3"/>
                                      </dgm:constrLst>
                                      <dgm:ruleLst>
                                        <dgm:rule type="primFontSz" val="5" fact="NaN" max="NaN"/>
                                      </dgm:ruleLst>
                                    </dgm:layoutNode>
                                  </dgm:layoutNode>
                                  <dgm:layoutNode name="hierChild5">
                                    <dgm:choose name="Name28">
                                      <dgm:if name="Name29" func="var" arg="dir" op="equ" val="norm">
                                        <dgm:alg type="hierChild">
                                          <dgm:param type="linDir" val="fromL"/>
                                        </dgm:alg>
                                      </dgm:if>
                                      <dgm:else name="Name30">
                                        <dgm:alg type="hierChild">
                                          <dgm:param type="linDir" val="fromR"/>
                                        </dgm:alg>
                                      </dgm:else>
                                    </dgm:choose>
                                    <dgm:shape xmlns:r="http://schemas.openxmlformats.org/officeDocument/2006/relationships" r:blip="">
                                      <dgm:adjLst/>
                                    </dgm:shape>
                                    <dgm:presOf/>
                                    <dgm:constrLst/>
                                    <dgm:ruleLst/>
                                    <dgm:forEach name="Name31" ref="repeat"/>
                                  </dgm:layoutNode>
                                </dgm:layoutNode>
                              </dgm:forEach>
                            </dgm:forEach>
                          </dgm:layoutNode>
                        </dgm:layoutNode>
                      </dgm:forEach>
                    </dgm:forEach>
                  </dgm:layoutNode>
                </dgm:layoutNode>
              </dgm:forEach>
            </dgm:forEach>
          </dgm:layoutNode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2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3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7" Type="http://schemas.openxmlformats.org/officeDocument/2006/relationships/image" Target="../media/image3.png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6" Type="http://schemas.openxmlformats.org/officeDocument/2006/relationships/image" Target="../media/image2.png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2.xml"/><Relationship Id="rId2" Type="http://schemas.openxmlformats.org/officeDocument/2006/relationships/diagramLayout" Target="../diagrams/layout2.xml"/><Relationship Id="rId1" Type="http://schemas.openxmlformats.org/officeDocument/2006/relationships/diagramData" Target="../diagrams/data2.xml"/><Relationship Id="rId5" Type="http://schemas.microsoft.com/office/2007/relationships/diagramDrawing" Target="../diagrams/drawing2.xml"/><Relationship Id="rId4" Type="http://schemas.openxmlformats.org/officeDocument/2006/relationships/diagramColors" Target="../diagrams/colors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3.xml"/><Relationship Id="rId2" Type="http://schemas.openxmlformats.org/officeDocument/2006/relationships/diagramLayout" Target="../diagrams/layout3.xml"/><Relationship Id="rId1" Type="http://schemas.openxmlformats.org/officeDocument/2006/relationships/diagramData" Target="../diagrams/data3.xml"/><Relationship Id="rId5" Type="http://schemas.microsoft.com/office/2007/relationships/diagramDrawing" Target="../diagrams/drawing3.xml"/><Relationship Id="rId4" Type="http://schemas.openxmlformats.org/officeDocument/2006/relationships/diagramColors" Target="../diagrams/colors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58308</xdr:colOff>
      <xdr:row>3</xdr:row>
      <xdr:rowOff>8697</xdr:rowOff>
    </xdr:from>
    <xdr:to>
      <xdr:col>12</xdr:col>
      <xdr:colOff>296492</xdr:colOff>
      <xdr:row>7</xdr:row>
      <xdr:rowOff>203715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B2B97F-1EE8-91EE-00A1-15C33C06B8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45563" y="632888"/>
          <a:ext cx="6342291" cy="157310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53340</xdr:colOff>
      <xdr:row>1</xdr:row>
      <xdr:rowOff>7620</xdr:rowOff>
    </xdr:from>
    <xdr:to>
      <xdr:col>14</xdr:col>
      <xdr:colOff>91440</xdr:colOff>
      <xdr:row>17</xdr:row>
      <xdr:rowOff>137160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ED432E46-1955-42B7-BCF8-126312FF2C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twoCellAnchor editAs="oneCell">
    <xdr:from>
      <xdr:col>0</xdr:col>
      <xdr:colOff>86220</xdr:colOff>
      <xdr:row>25</xdr:row>
      <xdr:rowOff>84216</xdr:rowOff>
    </xdr:from>
    <xdr:to>
      <xdr:col>6</xdr:col>
      <xdr:colOff>508516</xdr:colOff>
      <xdr:row>40</xdr:row>
      <xdr:rowOff>144780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9DC1A98-4E29-00DD-0794-C1E4224EA0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220" y="4656216"/>
          <a:ext cx="4079896" cy="2803764"/>
        </a:xfrm>
        <a:prstGeom prst="rect">
          <a:avLst/>
        </a:prstGeom>
      </xdr:spPr>
    </xdr:pic>
    <xdr:clientData/>
  </xdr:twoCellAnchor>
  <xdr:twoCellAnchor editAs="oneCell">
    <xdr:from>
      <xdr:col>0</xdr:col>
      <xdr:colOff>106680</xdr:colOff>
      <xdr:row>0</xdr:row>
      <xdr:rowOff>99060</xdr:rowOff>
    </xdr:from>
    <xdr:to>
      <xdr:col>6</xdr:col>
      <xdr:colOff>205740</xdr:colOff>
      <xdr:row>17</xdr:row>
      <xdr:rowOff>160365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F720566-BF1E-9169-3A23-59374FFE1A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80" y="99060"/>
          <a:ext cx="3756660" cy="34442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2</xdr:row>
      <xdr:rowOff>60959</xdr:rowOff>
    </xdr:from>
    <xdr:to>
      <xdr:col>5</xdr:col>
      <xdr:colOff>266700</xdr:colOff>
      <xdr:row>18</xdr:row>
      <xdr:rowOff>45720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E8D0A5E-555E-4FC4-B5F6-63EE7F782B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</xdr:colOff>
      <xdr:row>1</xdr:row>
      <xdr:rowOff>99060</xdr:rowOff>
    </xdr:from>
    <xdr:to>
      <xdr:col>7</xdr:col>
      <xdr:colOff>83820</xdr:colOff>
      <xdr:row>25</xdr:row>
      <xdr:rowOff>160020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5DC50034-FDEB-4ECA-A76E-ABAD410AEB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EAFA8-41D5-47EA-8F70-54B13CFFBF26}">
  <dimension ref="A1:A8"/>
  <sheetViews>
    <sheetView zoomScale="220" zoomScaleNormal="220" workbookViewId="0">
      <selection activeCell="B9" sqref="B9"/>
    </sheetView>
  </sheetViews>
  <sheetFormatPr defaultRowHeight="14.4"/>
  <cols>
    <col min="1" max="1" width="27.33203125" bestFit="1" customWidth="1"/>
  </cols>
  <sheetData>
    <row r="1" spans="1:1">
      <c r="A1" s="16" t="s">
        <v>0</v>
      </c>
    </row>
    <row r="2" spans="1:1">
      <c r="A2" s="8" t="s">
        <v>1</v>
      </c>
    </row>
    <row r="3" spans="1:1">
      <c r="A3" s="8" t="s">
        <v>4</v>
      </c>
    </row>
    <row r="4" spans="1:1">
      <c r="A4" s="8" t="s">
        <v>2</v>
      </c>
    </row>
    <row r="5" spans="1:1">
      <c r="A5" s="8" t="s">
        <v>3</v>
      </c>
    </row>
    <row r="6" spans="1:1">
      <c r="A6" s="8" t="s">
        <v>5</v>
      </c>
    </row>
    <row r="7" spans="1:1">
      <c r="A7" s="8" t="s">
        <v>6</v>
      </c>
    </row>
    <row r="8" spans="1:1">
      <c r="A8" s="1" t="s">
        <v>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14294-3FE5-486F-8D68-F6C0D8BC5FC6}">
  <dimension ref="A1:Q62"/>
  <sheetViews>
    <sheetView topLeftCell="B9" zoomScale="113" zoomScaleNormal="70" workbookViewId="0">
      <selection activeCell="J22" sqref="J22"/>
    </sheetView>
  </sheetViews>
  <sheetFormatPr defaultRowHeight="14.4"/>
  <cols>
    <col min="1" max="1" width="80.5546875" bestFit="1" customWidth="1"/>
    <col min="2" max="2" width="8.5546875" bestFit="1" customWidth="1"/>
    <col min="3" max="3" width="15.5546875" bestFit="1" customWidth="1"/>
    <col min="4" max="4" width="11.6640625" bestFit="1" customWidth="1"/>
    <col min="5" max="6" width="8" bestFit="1" customWidth="1"/>
    <col min="7" max="7" width="15.6640625" style="47" bestFit="1" customWidth="1"/>
    <col min="8" max="8" width="17.44140625" bestFit="1" customWidth="1"/>
    <col min="9" max="9" width="19" customWidth="1"/>
    <col min="10" max="10" width="18.5546875" bestFit="1" customWidth="1"/>
    <col min="11" max="11" width="9.33203125" bestFit="1" customWidth="1"/>
  </cols>
  <sheetData>
    <row r="1" spans="1:17" ht="18">
      <c r="A1" s="63" t="s">
        <v>8</v>
      </c>
      <c r="B1" s="63"/>
      <c r="C1" s="63"/>
      <c r="D1" s="63"/>
      <c r="E1" s="63"/>
      <c r="F1" s="63"/>
      <c r="G1" s="46"/>
      <c r="H1" s="2"/>
      <c r="I1" s="2"/>
      <c r="J1" s="2"/>
      <c r="K1" s="2"/>
      <c r="L1" s="2"/>
      <c r="M1" s="2"/>
      <c r="N1" s="2"/>
      <c r="O1" s="2"/>
      <c r="P1" s="2"/>
    </row>
    <row r="2" spans="1:17" ht="15" thickBot="1"/>
    <row r="3" spans="1:17" ht="16.2" thickBot="1">
      <c r="A3" s="60" t="s">
        <v>9</v>
      </c>
      <c r="B3" s="61"/>
      <c r="C3" s="61"/>
      <c r="D3" s="61"/>
      <c r="E3" s="61"/>
      <c r="F3" s="62"/>
      <c r="G3" s="48"/>
      <c r="H3" s="3"/>
      <c r="I3" s="3"/>
      <c r="J3" s="3"/>
      <c r="K3" s="3"/>
      <c r="L3" s="3"/>
      <c r="M3" s="3"/>
      <c r="N3" s="3"/>
      <c r="O3" s="3"/>
      <c r="P3" s="3"/>
    </row>
    <row r="5" spans="1:17" ht="62.4" customHeight="1">
      <c r="A5" s="73" t="s">
        <v>10</v>
      </c>
      <c r="B5" s="73"/>
      <c r="C5" s="73"/>
      <c r="D5" s="73"/>
      <c r="E5" s="73"/>
      <c r="F5" s="73"/>
      <c r="G5" s="49"/>
      <c r="H5" s="4"/>
      <c r="I5" s="4"/>
      <c r="J5" s="4"/>
      <c r="K5" s="4"/>
      <c r="L5" s="4"/>
      <c r="M5" s="4"/>
      <c r="N5" s="4"/>
      <c r="O5" s="4"/>
      <c r="P5" s="4"/>
      <c r="Q5" s="4"/>
    </row>
    <row r="6" spans="1:17" ht="15" thickBot="1"/>
    <row r="7" spans="1:17" ht="16.2" thickBot="1">
      <c r="A7" s="60" t="s">
        <v>11</v>
      </c>
      <c r="B7" s="61"/>
      <c r="C7" s="61"/>
      <c r="D7" s="61"/>
      <c r="E7" s="61"/>
      <c r="F7" s="62"/>
      <c r="G7" s="48"/>
      <c r="H7" s="3"/>
      <c r="I7" s="6"/>
      <c r="J7" s="3"/>
      <c r="K7" s="3"/>
      <c r="L7" s="3"/>
      <c r="M7" s="3"/>
      <c r="N7" s="3"/>
      <c r="O7" s="3"/>
      <c r="P7" s="3"/>
    </row>
    <row r="8" spans="1:17" ht="20.399999999999999" customHeight="1"/>
    <row r="9" spans="1:17" ht="41.4" customHeight="1">
      <c r="A9" s="5" t="s">
        <v>12</v>
      </c>
      <c r="B9" s="5" t="s">
        <v>13</v>
      </c>
      <c r="C9" s="5" t="s">
        <v>14</v>
      </c>
      <c r="D9" s="5" t="s">
        <v>15</v>
      </c>
      <c r="E9" s="5" t="s">
        <v>16</v>
      </c>
      <c r="F9" s="5" t="s">
        <v>17</v>
      </c>
      <c r="G9" s="5" t="s">
        <v>82</v>
      </c>
      <c r="H9" s="5" t="s">
        <v>94</v>
      </c>
      <c r="I9" s="5" t="s">
        <v>96</v>
      </c>
      <c r="J9" s="5" t="s">
        <v>99</v>
      </c>
    </row>
    <row r="10" spans="1:17">
      <c r="A10" s="15" t="s">
        <v>18</v>
      </c>
      <c r="B10" s="15" t="s">
        <v>19</v>
      </c>
      <c r="C10" s="15">
        <v>1500</v>
      </c>
      <c r="D10" s="15">
        <v>15</v>
      </c>
      <c r="E10" s="15">
        <v>1000</v>
      </c>
      <c r="F10" s="15">
        <v>4.5</v>
      </c>
      <c r="G10" s="58" t="str">
        <f>IF(C10&gt;E10,"Yes","No")</f>
        <v>Yes</v>
      </c>
      <c r="H10" s="59">
        <f>IF(G10="yes",C10*10%,"0")</f>
        <v>150</v>
      </c>
      <c r="I10" s="58" t="str">
        <f>IF(AND(D10&gt;12,F10&gt;=4),"Yes","No")</f>
        <v>Yes</v>
      </c>
      <c r="J10" s="59">
        <f>IF(OR(D10&gt;10,F10&gt;=4),C10*5%,"No")</f>
        <v>75</v>
      </c>
    </row>
    <row r="11" spans="1:17">
      <c r="A11" s="36" t="s">
        <v>20</v>
      </c>
      <c r="B11" s="36" t="s">
        <v>21</v>
      </c>
      <c r="C11" s="36">
        <v>950</v>
      </c>
      <c r="D11" s="36">
        <v>8</v>
      </c>
      <c r="E11" s="36">
        <v>1000</v>
      </c>
      <c r="F11" s="36">
        <v>3.8</v>
      </c>
      <c r="G11" s="57" t="str">
        <f t="shared" ref="G11:G29" si="0">IF(C11&gt;E11,"Yes","No")</f>
        <v>No</v>
      </c>
      <c r="H11" s="57" t="str">
        <f t="shared" ref="H11:H29" si="1">IF(G11="yes",C11*10%,"0")</f>
        <v>0</v>
      </c>
      <c r="I11" s="57" t="str">
        <f t="shared" ref="I11:I29" si="2">IF(AND(D11&gt;12,F11&gt;=4),"Yes","No")</f>
        <v>No</v>
      </c>
      <c r="J11" s="57" t="str">
        <f t="shared" ref="J11:J29" si="3">IF(OR(D11&gt;10,F11&gt;=4),C11*5%,"No")</f>
        <v>No</v>
      </c>
    </row>
    <row r="12" spans="1:17">
      <c r="A12" s="15" t="s">
        <v>22</v>
      </c>
      <c r="B12" s="15" t="s">
        <v>23</v>
      </c>
      <c r="C12" s="15">
        <v>1200</v>
      </c>
      <c r="D12" s="15">
        <v>12</v>
      </c>
      <c r="E12" s="15">
        <v>1000</v>
      </c>
      <c r="F12" s="15">
        <v>4.2</v>
      </c>
      <c r="G12" s="50" t="str">
        <f t="shared" si="0"/>
        <v>Yes</v>
      </c>
      <c r="H12" s="59">
        <f t="shared" si="1"/>
        <v>120</v>
      </c>
      <c r="I12" s="58" t="str">
        <f t="shared" si="2"/>
        <v>No</v>
      </c>
      <c r="J12" s="59">
        <f t="shared" si="3"/>
        <v>60</v>
      </c>
    </row>
    <row r="13" spans="1:17">
      <c r="A13" s="15" t="s">
        <v>24</v>
      </c>
      <c r="B13" s="15" t="s">
        <v>25</v>
      </c>
      <c r="C13" s="15">
        <v>1300</v>
      </c>
      <c r="D13" s="15">
        <v>11</v>
      </c>
      <c r="E13" s="15">
        <v>1000</v>
      </c>
      <c r="F13" s="15">
        <v>4</v>
      </c>
      <c r="G13" s="50" t="str">
        <f t="shared" si="0"/>
        <v>Yes</v>
      </c>
      <c r="H13" s="59">
        <f t="shared" si="1"/>
        <v>130</v>
      </c>
      <c r="I13" s="58" t="str">
        <f t="shared" si="2"/>
        <v>No</v>
      </c>
      <c r="J13" s="59">
        <f t="shared" si="3"/>
        <v>65</v>
      </c>
    </row>
    <row r="14" spans="1:17">
      <c r="A14" s="36" t="s">
        <v>26</v>
      </c>
      <c r="B14" s="36" t="s">
        <v>19</v>
      </c>
      <c r="C14" s="36">
        <v>900</v>
      </c>
      <c r="D14" s="36">
        <v>9</v>
      </c>
      <c r="E14" s="36">
        <v>1000</v>
      </c>
      <c r="F14" s="36">
        <v>3.9</v>
      </c>
      <c r="G14" s="57" t="str">
        <f t="shared" si="0"/>
        <v>No</v>
      </c>
      <c r="H14" s="57" t="str">
        <f t="shared" si="1"/>
        <v>0</v>
      </c>
      <c r="I14" s="57" t="str">
        <f t="shared" si="2"/>
        <v>No</v>
      </c>
      <c r="J14" s="57" t="str">
        <f t="shared" si="3"/>
        <v>No</v>
      </c>
    </row>
    <row r="15" spans="1:17">
      <c r="A15" s="15" t="s">
        <v>27</v>
      </c>
      <c r="B15" s="15" t="s">
        <v>21</v>
      </c>
      <c r="C15" s="15">
        <v>1100</v>
      </c>
      <c r="D15" s="15">
        <v>10</v>
      </c>
      <c r="E15" s="15">
        <v>1000</v>
      </c>
      <c r="F15" s="15">
        <v>4.0999999999999996</v>
      </c>
      <c r="G15" s="50" t="str">
        <f t="shared" si="0"/>
        <v>Yes</v>
      </c>
      <c r="H15" s="59">
        <f t="shared" si="1"/>
        <v>110</v>
      </c>
      <c r="I15" s="58" t="str">
        <f t="shared" si="2"/>
        <v>No</v>
      </c>
      <c r="J15" s="59">
        <f t="shared" si="3"/>
        <v>55</v>
      </c>
    </row>
    <row r="16" spans="1:17">
      <c r="A16" s="15" t="s">
        <v>28</v>
      </c>
      <c r="B16" s="15" t="s">
        <v>23</v>
      </c>
      <c r="C16" s="15">
        <v>1400</v>
      </c>
      <c r="D16" s="15">
        <v>14</v>
      </c>
      <c r="E16" s="15">
        <v>1000</v>
      </c>
      <c r="F16" s="15">
        <v>4.3</v>
      </c>
      <c r="G16" s="50" t="str">
        <f t="shared" si="0"/>
        <v>Yes</v>
      </c>
      <c r="H16" s="59">
        <f t="shared" si="1"/>
        <v>140</v>
      </c>
      <c r="I16" s="58" t="str">
        <f t="shared" si="2"/>
        <v>Yes</v>
      </c>
      <c r="J16" s="59">
        <f t="shared" si="3"/>
        <v>70</v>
      </c>
    </row>
    <row r="17" spans="1:14">
      <c r="A17" s="15" t="s">
        <v>29</v>
      </c>
      <c r="B17" s="15" t="s">
        <v>25</v>
      </c>
      <c r="C17" s="26">
        <v>1600</v>
      </c>
      <c r="D17" s="26">
        <v>16</v>
      </c>
      <c r="E17" s="26">
        <v>1000</v>
      </c>
      <c r="F17" s="26">
        <v>4.5999999999999996</v>
      </c>
      <c r="G17" s="50" t="str">
        <f t="shared" si="0"/>
        <v>Yes</v>
      </c>
      <c r="H17" s="59">
        <f t="shared" si="1"/>
        <v>160</v>
      </c>
      <c r="I17" s="58" t="str">
        <f t="shared" si="2"/>
        <v>Yes</v>
      </c>
      <c r="J17" s="59">
        <f t="shared" si="3"/>
        <v>80</v>
      </c>
    </row>
    <row r="18" spans="1:14">
      <c r="A18" s="15" t="s">
        <v>30</v>
      </c>
      <c r="B18" s="15" t="s">
        <v>19</v>
      </c>
      <c r="C18" s="15">
        <v>1050</v>
      </c>
      <c r="D18" s="15">
        <v>10</v>
      </c>
      <c r="E18" s="15">
        <v>1000</v>
      </c>
      <c r="F18" s="15">
        <v>4</v>
      </c>
      <c r="G18" s="50" t="str">
        <f t="shared" si="0"/>
        <v>Yes</v>
      </c>
      <c r="H18" s="59">
        <f t="shared" si="1"/>
        <v>105</v>
      </c>
      <c r="I18" s="58" t="str">
        <f t="shared" si="2"/>
        <v>No</v>
      </c>
      <c r="J18" s="59">
        <f t="shared" si="3"/>
        <v>52.5</v>
      </c>
    </row>
    <row r="19" spans="1:14">
      <c r="A19" s="36" t="s">
        <v>31</v>
      </c>
      <c r="B19" s="36" t="s">
        <v>21</v>
      </c>
      <c r="C19" s="36">
        <v>950</v>
      </c>
      <c r="D19" s="36">
        <v>7</v>
      </c>
      <c r="E19" s="36">
        <v>1000</v>
      </c>
      <c r="F19" s="36">
        <v>3.7</v>
      </c>
      <c r="G19" s="57" t="str">
        <f t="shared" si="0"/>
        <v>No</v>
      </c>
      <c r="H19" s="57" t="str">
        <f t="shared" si="1"/>
        <v>0</v>
      </c>
      <c r="I19" s="57" t="str">
        <f t="shared" si="2"/>
        <v>No</v>
      </c>
      <c r="J19" s="57" t="str">
        <f t="shared" si="3"/>
        <v>No</v>
      </c>
    </row>
    <row r="20" spans="1:14">
      <c r="A20" s="15" t="s">
        <v>32</v>
      </c>
      <c r="B20" s="15" t="s">
        <v>23</v>
      </c>
      <c r="C20" s="15">
        <v>1150</v>
      </c>
      <c r="D20" s="15">
        <v>11</v>
      </c>
      <c r="E20" s="15">
        <v>1000</v>
      </c>
      <c r="F20" s="15">
        <v>4.0999999999999996</v>
      </c>
      <c r="G20" s="50" t="str">
        <f t="shared" si="0"/>
        <v>Yes</v>
      </c>
      <c r="H20" s="59">
        <f t="shared" si="1"/>
        <v>115</v>
      </c>
      <c r="I20" s="58" t="str">
        <f t="shared" si="2"/>
        <v>No</v>
      </c>
      <c r="J20" s="59">
        <f t="shared" si="3"/>
        <v>57.5</v>
      </c>
    </row>
    <row r="21" spans="1:14">
      <c r="A21" s="15" t="s">
        <v>33</v>
      </c>
      <c r="B21" s="15" t="s">
        <v>25</v>
      </c>
      <c r="C21" s="15">
        <v>1350</v>
      </c>
      <c r="D21" s="15">
        <v>13</v>
      </c>
      <c r="E21" s="15">
        <v>1000</v>
      </c>
      <c r="F21" s="15">
        <v>4.4000000000000004</v>
      </c>
      <c r="G21" s="50" t="str">
        <f t="shared" si="0"/>
        <v>Yes</v>
      </c>
      <c r="H21" s="59">
        <f t="shared" si="1"/>
        <v>135</v>
      </c>
      <c r="I21" s="58" t="str">
        <f t="shared" si="2"/>
        <v>Yes</v>
      </c>
      <c r="J21" s="59">
        <f t="shared" si="3"/>
        <v>67.5</v>
      </c>
    </row>
    <row r="22" spans="1:14">
      <c r="A22" s="36" t="s">
        <v>34</v>
      </c>
      <c r="B22" s="36" t="s">
        <v>19</v>
      </c>
      <c r="C22" s="36">
        <v>850</v>
      </c>
      <c r="D22" s="36">
        <v>8</v>
      </c>
      <c r="E22" s="36">
        <v>1000</v>
      </c>
      <c r="F22" s="36">
        <v>3.6</v>
      </c>
      <c r="G22" s="57" t="str">
        <f t="shared" si="0"/>
        <v>No</v>
      </c>
      <c r="H22" s="57" t="str">
        <f t="shared" si="1"/>
        <v>0</v>
      </c>
      <c r="I22" s="57" t="str">
        <f t="shared" si="2"/>
        <v>No</v>
      </c>
      <c r="J22" s="57" t="str">
        <f t="shared" si="3"/>
        <v>No</v>
      </c>
    </row>
    <row r="23" spans="1:14">
      <c r="A23" s="15" t="s">
        <v>35</v>
      </c>
      <c r="B23" s="15" t="s">
        <v>21</v>
      </c>
      <c r="C23" s="15">
        <v>1250</v>
      </c>
      <c r="D23" s="15">
        <v>12</v>
      </c>
      <c r="E23" s="15">
        <v>1000</v>
      </c>
      <c r="F23" s="15">
        <v>4.2</v>
      </c>
      <c r="G23" s="50" t="str">
        <f t="shared" si="0"/>
        <v>Yes</v>
      </c>
      <c r="H23" s="59">
        <f t="shared" si="1"/>
        <v>125</v>
      </c>
      <c r="I23" s="58" t="str">
        <f t="shared" si="2"/>
        <v>No</v>
      </c>
      <c r="J23" s="59">
        <f t="shared" si="3"/>
        <v>62.5</v>
      </c>
    </row>
    <row r="24" spans="1:14">
      <c r="A24" s="15" t="s">
        <v>36</v>
      </c>
      <c r="B24" s="15" t="s">
        <v>23</v>
      </c>
      <c r="C24" s="15">
        <v>1300</v>
      </c>
      <c r="D24" s="15">
        <v>13</v>
      </c>
      <c r="E24" s="15">
        <v>1000</v>
      </c>
      <c r="F24" s="15">
        <v>4.3</v>
      </c>
      <c r="G24" s="50" t="str">
        <f t="shared" si="0"/>
        <v>Yes</v>
      </c>
      <c r="H24" s="59">
        <f t="shared" si="1"/>
        <v>130</v>
      </c>
      <c r="I24" s="58" t="str">
        <f t="shared" si="2"/>
        <v>Yes</v>
      </c>
      <c r="J24" s="59">
        <f t="shared" si="3"/>
        <v>65</v>
      </c>
    </row>
    <row r="25" spans="1:14">
      <c r="A25" s="15" t="s">
        <v>37</v>
      </c>
      <c r="B25" s="15" t="s">
        <v>25</v>
      </c>
      <c r="C25" s="15">
        <v>1450</v>
      </c>
      <c r="D25" s="15">
        <v>15</v>
      </c>
      <c r="E25" s="15">
        <v>1000</v>
      </c>
      <c r="F25" s="15">
        <v>4.5</v>
      </c>
      <c r="G25" s="50" t="str">
        <f t="shared" si="0"/>
        <v>Yes</v>
      </c>
      <c r="H25" s="59">
        <f t="shared" si="1"/>
        <v>145</v>
      </c>
      <c r="I25" s="58" t="str">
        <f t="shared" si="2"/>
        <v>Yes</v>
      </c>
      <c r="J25" s="59">
        <f t="shared" si="3"/>
        <v>72.5</v>
      </c>
    </row>
    <row r="26" spans="1:14">
      <c r="A26" s="15" t="s">
        <v>38</v>
      </c>
      <c r="B26" s="15" t="s">
        <v>19</v>
      </c>
      <c r="C26" s="15">
        <v>1100</v>
      </c>
      <c r="D26" s="15">
        <v>11</v>
      </c>
      <c r="E26" s="15">
        <v>1000</v>
      </c>
      <c r="F26" s="15">
        <v>4</v>
      </c>
      <c r="G26" s="50" t="str">
        <f t="shared" si="0"/>
        <v>Yes</v>
      </c>
      <c r="H26" s="59">
        <f t="shared" si="1"/>
        <v>110</v>
      </c>
      <c r="I26" s="58" t="str">
        <f t="shared" si="2"/>
        <v>No</v>
      </c>
      <c r="J26" s="59">
        <f t="shared" si="3"/>
        <v>55</v>
      </c>
    </row>
    <row r="27" spans="1:14">
      <c r="A27" s="15" t="s">
        <v>39</v>
      </c>
      <c r="B27" s="15" t="s">
        <v>21</v>
      </c>
      <c r="C27" s="15">
        <v>1050</v>
      </c>
      <c r="D27" s="15">
        <v>10</v>
      </c>
      <c r="E27" s="15">
        <v>1000</v>
      </c>
      <c r="F27" s="15">
        <v>4</v>
      </c>
      <c r="G27" s="50" t="str">
        <f t="shared" si="0"/>
        <v>Yes</v>
      </c>
      <c r="H27" s="59">
        <f t="shared" si="1"/>
        <v>105</v>
      </c>
      <c r="I27" s="58" t="str">
        <f t="shared" si="2"/>
        <v>No</v>
      </c>
      <c r="J27" s="59">
        <f t="shared" si="3"/>
        <v>52.5</v>
      </c>
    </row>
    <row r="28" spans="1:14">
      <c r="A28" s="15" t="s">
        <v>40</v>
      </c>
      <c r="B28" s="15" t="s">
        <v>23</v>
      </c>
      <c r="C28" s="15">
        <v>1250</v>
      </c>
      <c r="D28" s="15">
        <v>12</v>
      </c>
      <c r="E28" s="15">
        <v>1000</v>
      </c>
      <c r="F28" s="15">
        <v>4.2</v>
      </c>
      <c r="G28" s="50" t="str">
        <f t="shared" si="0"/>
        <v>Yes</v>
      </c>
      <c r="H28" s="59">
        <f t="shared" si="1"/>
        <v>125</v>
      </c>
      <c r="I28" s="58" t="str">
        <f t="shared" si="2"/>
        <v>No</v>
      </c>
      <c r="J28" s="59">
        <f t="shared" si="3"/>
        <v>62.5</v>
      </c>
    </row>
    <row r="29" spans="1:14">
      <c r="A29" s="15" t="s">
        <v>41</v>
      </c>
      <c r="B29" s="15" t="s">
        <v>25</v>
      </c>
      <c r="C29" s="15">
        <v>1550</v>
      </c>
      <c r="D29" s="15">
        <v>16</v>
      </c>
      <c r="E29" s="15">
        <v>1000</v>
      </c>
      <c r="F29" s="15">
        <v>4.5999999999999996</v>
      </c>
      <c r="G29" s="50" t="str">
        <f t="shared" si="0"/>
        <v>Yes</v>
      </c>
      <c r="H29" s="59">
        <f t="shared" si="1"/>
        <v>155</v>
      </c>
      <c r="I29" s="58" t="str">
        <f t="shared" si="2"/>
        <v>Yes</v>
      </c>
      <c r="J29" s="59">
        <f t="shared" si="3"/>
        <v>77.5</v>
      </c>
    </row>
    <row r="31" spans="1:14" ht="15" thickBot="1"/>
    <row r="32" spans="1:14" ht="15" thickBot="1">
      <c r="A32" s="64" t="s">
        <v>63</v>
      </c>
      <c r="B32" s="65"/>
      <c r="C32" s="65"/>
      <c r="D32" s="65"/>
      <c r="E32" s="65"/>
      <c r="F32" s="66"/>
      <c r="G32" s="51"/>
      <c r="H32" s="10"/>
      <c r="I32" s="10"/>
      <c r="N32">
        <f>1600*15%</f>
        <v>240</v>
      </c>
    </row>
    <row r="33" spans="1:9" ht="15" thickBot="1">
      <c r="A33" s="7"/>
      <c r="B33" s="9"/>
      <c r="C33" s="9"/>
      <c r="D33" s="9"/>
      <c r="E33" s="9"/>
      <c r="F33" s="9"/>
      <c r="H33" s="9"/>
      <c r="I33" s="9"/>
    </row>
    <row r="34" spans="1:9">
      <c r="A34" s="70" t="s">
        <v>42</v>
      </c>
      <c r="B34" s="71"/>
      <c r="C34" s="71"/>
      <c r="D34" s="71"/>
      <c r="E34" s="71"/>
      <c r="F34" s="72"/>
      <c r="G34" s="31"/>
      <c r="H34" s="11"/>
      <c r="I34" s="11"/>
    </row>
    <row r="35" spans="1:9" ht="15" thickBot="1">
      <c r="A35" s="80" t="s">
        <v>43</v>
      </c>
      <c r="B35" s="81"/>
      <c r="C35" s="81"/>
      <c r="D35" s="81"/>
      <c r="E35" s="81"/>
      <c r="F35" s="82"/>
      <c r="G35" s="31"/>
      <c r="H35" s="11"/>
      <c r="I35" s="11"/>
    </row>
    <row r="36" spans="1:9" ht="15" thickBot="1">
      <c r="A36" s="9"/>
      <c r="B36" s="9"/>
      <c r="C36" s="9"/>
      <c r="D36" s="9"/>
      <c r="E36" s="9"/>
      <c r="F36" s="9"/>
      <c r="H36" s="9"/>
      <c r="I36" s="9"/>
    </row>
    <row r="37" spans="1:9" ht="15" thickBot="1">
      <c r="A37" s="67" t="s">
        <v>45</v>
      </c>
      <c r="B37" s="68"/>
      <c r="C37" s="68"/>
      <c r="D37" s="68"/>
      <c r="E37" s="68"/>
      <c r="F37" s="69"/>
    </row>
    <row r="38" spans="1:9" ht="15" thickBot="1">
      <c r="A38" s="7"/>
    </row>
    <row r="39" spans="1:9">
      <c r="A39" s="70" t="s">
        <v>46</v>
      </c>
      <c r="B39" s="71"/>
      <c r="C39" s="71"/>
      <c r="D39" s="71"/>
      <c r="E39" s="71"/>
      <c r="F39" s="72"/>
    </row>
    <row r="40" spans="1:9" ht="15" thickBot="1">
      <c r="A40" s="77" t="s">
        <v>47</v>
      </c>
      <c r="B40" s="78"/>
      <c r="C40" s="78"/>
      <c r="D40" s="78"/>
      <c r="E40" s="78"/>
      <c r="F40" s="79"/>
    </row>
    <row r="41" spans="1:9" ht="15" thickBot="1"/>
    <row r="42" spans="1:9" ht="15" thickBot="1">
      <c r="A42" s="86" t="s">
        <v>49</v>
      </c>
      <c r="B42" s="87"/>
      <c r="C42" s="87"/>
      <c r="D42" s="87"/>
      <c r="E42" s="87"/>
      <c r="F42" s="88"/>
    </row>
    <row r="43" spans="1:9" ht="15" thickBot="1">
      <c r="A43" s="38"/>
      <c r="B43" s="23"/>
      <c r="C43" s="23"/>
      <c r="D43" s="23"/>
      <c r="E43" s="23"/>
      <c r="F43" s="23"/>
    </row>
    <row r="44" spans="1:9">
      <c r="A44" s="89" t="s">
        <v>95</v>
      </c>
      <c r="B44" s="90"/>
      <c r="C44" s="90"/>
      <c r="D44" s="90"/>
      <c r="E44" s="90"/>
      <c r="F44" s="91"/>
    </row>
    <row r="45" spans="1:9" ht="15" thickBot="1">
      <c r="A45" s="92" t="s">
        <v>50</v>
      </c>
      <c r="B45" s="93"/>
      <c r="C45" s="93"/>
      <c r="D45" s="93"/>
      <c r="E45" s="93"/>
      <c r="F45" s="94"/>
    </row>
    <row r="46" spans="1:9" ht="15" thickBot="1"/>
    <row r="47" spans="1:9" ht="15" thickBot="1">
      <c r="A47" s="95" t="s">
        <v>52</v>
      </c>
      <c r="B47" s="96"/>
      <c r="C47" s="96"/>
      <c r="D47" s="96"/>
      <c r="E47" s="96"/>
      <c r="F47" s="97"/>
    </row>
    <row r="48" spans="1:9" ht="15" thickBot="1">
      <c r="A48" s="37"/>
      <c r="B48" s="27"/>
      <c r="C48" s="27"/>
      <c r="D48" s="27"/>
      <c r="E48" s="27"/>
      <c r="F48" s="27"/>
    </row>
    <row r="49" spans="1:6">
      <c r="A49" s="98" t="s">
        <v>97</v>
      </c>
      <c r="B49" s="99"/>
      <c r="C49" s="99"/>
      <c r="D49" s="99"/>
      <c r="E49" s="99"/>
      <c r="F49" s="100"/>
    </row>
    <row r="50" spans="1:6" ht="15" thickBot="1">
      <c r="A50" s="83" t="s">
        <v>98</v>
      </c>
      <c r="B50" s="84"/>
      <c r="C50" s="84"/>
      <c r="D50" s="84"/>
      <c r="E50" s="84"/>
      <c r="F50" s="85"/>
    </row>
    <row r="51" spans="1:6" ht="15" thickBot="1"/>
    <row r="52" spans="1:6" ht="15" thickBot="1">
      <c r="A52" s="67" t="s">
        <v>53</v>
      </c>
      <c r="B52" s="68"/>
      <c r="C52" s="68"/>
      <c r="D52" s="68"/>
      <c r="E52" s="68"/>
      <c r="F52" s="69"/>
    </row>
    <row r="53" spans="1:6" ht="15" thickBot="1">
      <c r="A53" s="7"/>
    </row>
    <row r="54" spans="1:6">
      <c r="A54" s="70" t="s">
        <v>54</v>
      </c>
      <c r="B54" s="71"/>
      <c r="C54" s="71"/>
      <c r="D54" s="71"/>
      <c r="E54" s="71"/>
      <c r="F54" s="72"/>
    </row>
    <row r="55" spans="1:6" ht="15" thickBot="1">
      <c r="A55" s="12" t="s">
        <v>55</v>
      </c>
      <c r="B55" s="13"/>
      <c r="C55" s="13"/>
      <c r="D55" s="13"/>
      <c r="E55" s="13"/>
      <c r="F55" s="14"/>
    </row>
    <row r="56" spans="1:6" ht="15" thickBot="1"/>
    <row r="57" spans="1:6" ht="15" thickBot="1">
      <c r="A57" s="67" t="s">
        <v>56</v>
      </c>
      <c r="B57" s="68"/>
      <c r="C57" s="68"/>
      <c r="D57" s="68"/>
      <c r="E57" s="68"/>
      <c r="F57" s="69"/>
    </row>
    <row r="58" spans="1:6" ht="15" thickBot="1">
      <c r="A58" s="7"/>
    </row>
    <row r="59" spans="1:6">
      <c r="A59" s="70" t="s">
        <v>57</v>
      </c>
      <c r="B59" s="71"/>
      <c r="C59" s="71"/>
      <c r="D59" s="71"/>
      <c r="E59" s="71"/>
      <c r="F59" s="72"/>
    </row>
    <row r="60" spans="1:6">
      <c r="A60" s="74" t="s">
        <v>58</v>
      </c>
      <c r="B60" s="75"/>
      <c r="C60" s="75"/>
      <c r="D60" s="75"/>
      <c r="E60" s="75"/>
      <c r="F60" s="76"/>
    </row>
    <row r="61" spans="1:6">
      <c r="A61" s="74" t="s">
        <v>59</v>
      </c>
      <c r="B61" s="75"/>
      <c r="C61" s="75"/>
      <c r="D61" s="75"/>
      <c r="E61" s="75"/>
      <c r="F61" s="76"/>
    </row>
    <row r="62" spans="1:6" ht="15" thickBot="1">
      <c r="A62" s="77" t="s">
        <v>60</v>
      </c>
      <c r="B62" s="78"/>
      <c r="C62" s="78"/>
      <c r="D62" s="78"/>
      <c r="E62" s="78"/>
      <c r="F62" s="79"/>
    </row>
  </sheetData>
  <mergeCells count="23">
    <mergeCell ref="A61:F61"/>
    <mergeCell ref="A62:F62"/>
    <mergeCell ref="A34:F34"/>
    <mergeCell ref="A35:F35"/>
    <mergeCell ref="A50:F50"/>
    <mergeCell ref="A52:F52"/>
    <mergeCell ref="A54:F54"/>
    <mergeCell ref="A57:F57"/>
    <mergeCell ref="A59:F59"/>
    <mergeCell ref="A60:F60"/>
    <mergeCell ref="A40:F40"/>
    <mergeCell ref="A42:F42"/>
    <mergeCell ref="A44:F44"/>
    <mergeCell ref="A45:F45"/>
    <mergeCell ref="A47:F47"/>
    <mergeCell ref="A49:F49"/>
    <mergeCell ref="A3:F3"/>
    <mergeCell ref="A1:F1"/>
    <mergeCell ref="A32:F32"/>
    <mergeCell ref="A37:F37"/>
    <mergeCell ref="A39:F39"/>
    <mergeCell ref="A5:F5"/>
    <mergeCell ref="A7:F7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2148A-92C5-497E-8123-5480B50D32B2}">
  <dimension ref="A1:L21"/>
  <sheetViews>
    <sheetView zoomScaleNormal="100" workbookViewId="0">
      <selection activeCell="L2" sqref="L2"/>
    </sheetView>
  </sheetViews>
  <sheetFormatPr defaultRowHeight="14.4"/>
  <cols>
    <col min="1" max="1" width="17.77734375" customWidth="1"/>
    <col min="2" max="2" width="19.33203125" customWidth="1"/>
    <col min="3" max="3" width="19.44140625" customWidth="1"/>
    <col min="4" max="4" width="17.33203125" customWidth="1"/>
    <col min="5" max="5" width="18.44140625" customWidth="1"/>
    <col min="6" max="6" width="21.77734375" customWidth="1"/>
    <col min="7" max="7" width="11.88671875" customWidth="1"/>
    <col min="8" max="8" width="17.88671875" customWidth="1"/>
    <col min="9" max="9" width="14" customWidth="1"/>
    <col min="10" max="10" width="14.44140625" customWidth="1"/>
    <col min="11" max="11" width="13.21875" customWidth="1"/>
  </cols>
  <sheetData>
    <row r="1" spans="1:12" ht="54">
      <c r="A1" s="5" t="s">
        <v>12</v>
      </c>
      <c r="B1" s="5" t="s">
        <v>13</v>
      </c>
      <c r="C1" s="5" t="s">
        <v>14</v>
      </c>
      <c r="D1" s="5" t="s">
        <v>15</v>
      </c>
      <c r="E1" s="5" t="s">
        <v>16</v>
      </c>
      <c r="F1" s="5" t="s">
        <v>17</v>
      </c>
      <c r="G1" s="5" t="s">
        <v>44</v>
      </c>
      <c r="H1" s="5" t="s">
        <v>48</v>
      </c>
      <c r="I1" s="5" t="s">
        <v>51</v>
      </c>
      <c r="J1" s="5" t="s">
        <v>62</v>
      </c>
      <c r="K1" s="5" t="s">
        <v>61</v>
      </c>
    </row>
    <row r="2" spans="1:12">
      <c r="A2" s="15" t="s">
        <v>18</v>
      </c>
      <c r="B2" s="15" t="s">
        <v>19</v>
      </c>
      <c r="C2" s="15">
        <v>1500</v>
      </c>
      <c r="D2" s="15">
        <v>15</v>
      </c>
      <c r="E2" s="15">
        <v>1000</v>
      </c>
      <c r="F2" s="15">
        <v>4.5</v>
      </c>
      <c r="G2" s="15" t="str">
        <f>IF(C2&gt;E2,"yes","no")</f>
        <v>yes</v>
      </c>
      <c r="H2" s="15">
        <f>IF(G2="yes",C2*0.1,"No Bonus")</f>
        <v>150</v>
      </c>
      <c r="I2" s="15" t="str">
        <f>IF(AND(D2&gt;=12,F2&gt;=4),"yes","no")</f>
        <v>yes</v>
      </c>
      <c r="J2" s="15" t="str">
        <f>IF(OR(D2&gt;10,F2&gt;4),"yes","no")</f>
        <v>yes</v>
      </c>
      <c r="K2" s="15">
        <f>IF(C2&gt;1500,C2*0.15,IF(OR(C2&lt;=1500,C2&gt;1000),C2*0.1,"no bonus"))</f>
        <v>150</v>
      </c>
      <c r="L2" t="s">
        <v>100</v>
      </c>
    </row>
    <row r="3" spans="1:12">
      <c r="A3" s="15" t="s">
        <v>20</v>
      </c>
      <c r="B3" s="15" t="s">
        <v>21</v>
      </c>
      <c r="C3" s="15">
        <v>950</v>
      </c>
      <c r="D3" s="15">
        <v>8</v>
      </c>
      <c r="E3" s="15">
        <v>1000</v>
      </c>
      <c r="F3" s="15">
        <v>3.8</v>
      </c>
      <c r="G3" s="15" t="str">
        <f t="shared" ref="G3:G21" si="0">IF(C3&gt;E3,"yes","no")</f>
        <v>no</v>
      </c>
      <c r="H3" s="15" t="str">
        <f t="shared" ref="H3:H21" si="1">IF(G3="yes",C3*0.1,"No Bonus")</f>
        <v>No Bonus</v>
      </c>
      <c r="I3" s="15" t="str">
        <f t="shared" ref="I3:I21" si="2">IF(AND(D3&gt;=12,F3&gt;=4),"yes","no")</f>
        <v>no</v>
      </c>
      <c r="J3" s="15" t="str">
        <f t="shared" ref="J3:J21" si="3">IF(OR(D3&gt;10,F3&gt;4),"yes","no")</f>
        <v>no</v>
      </c>
      <c r="K3" s="15">
        <f t="shared" ref="K3:K21" si="4">IF(C3&gt;1500,C3*0.15,IF(OR(C3&lt;=1500,C3&gt;1000),C3*0.1,"no bonus"))</f>
        <v>95</v>
      </c>
    </row>
    <row r="4" spans="1:12">
      <c r="A4" s="15" t="s">
        <v>22</v>
      </c>
      <c r="B4" s="15" t="s">
        <v>23</v>
      </c>
      <c r="C4" s="15">
        <v>1200</v>
      </c>
      <c r="D4" s="15">
        <v>12</v>
      </c>
      <c r="E4" s="15">
        <v>1000</v>
      </c>
      <c r="F4" s="15">
        <v>4.2</v>
      </c>
      <c r="G4" s="15" t="str">
        <f t="shared" si="0"/>
        <v>yes</v>
      </c>
      <c r="H4" s="15">
        <f t="shared" si="1"/>
        <v>120</v>
      </c>
      <c r="I4" s="15" t="str">
        <f t="shared" si="2"/>
        <v>yes</v>
      </c>
      <c r="J4" s="15" t="str">
        <f t="shared" si="3"/>
        <v>yes</v>
      </c>
      <c r="K4" s="15">
        <f t="shared" si="4"/>
        <v>120</v>
      </c>
    </row>
    <row r="5" spans="1:12">
      <c r="A5" s="15" t="s">
        <v>24</v>
      </c>
      <c r="B5" s="15" t="s">
        <v>25</v>
      </c>
      <c r="C5" s="15">
        <v>1300</v>
      </c>
      <c r="D5" s="15">
        <v>11</v>
      </c>
      <c r="E5" s="15">
        <v>1000</v>
      </c>
      <c r="F5" s="15">
        <v>4</v>
      </c>
      <c r="G5" s="15" t="str">
        <f t="shared" si="0"/>
        <v>yes</v>
      </c>
      <c r="H5" s="15">
        <f t="shared" si="1"/>
        <v>130</v>
      </c>
      <c r="I5" s="15" t="str">
        <f t="shared" si="2"/>
        <v>no</v>
      </c>
      <c r="J5" s="15" t="str">
        <f t="shared" si="3"/>
        <v>yes</v>
      </c>
      <c r="K5" s="15">
        <f t="shared" si="4"/>
        <v>130</v>
      </c>
    </row>
    <row r="6" spans="1:12">
      <c r="A6" s="15" t="s">
        <v>26</v>
      </c>
      <c r="B6" s="15" t="s">
        <v>19</v>
      </c>
      <c r="C6" s="15">
        <v>900</v>
      </c>
      <c r="D6" s="15">
        <v>9</v>
      </c>
      <c r="E6" s="15">
        <v>1000</v>
      </c>
      <c r="F6" s="15">
        <v>3.9</v>
      </c>
      <c r="G6" s="15" t="str">
        <f t="shared" si="0"/>
        <v>no</v>
      </c>
      <c r="H6" s="15" t="str">
        <f t="shared" si="1"/>
        <v>No Bonus</v>
      </c>
      <c r="I6" s="15" t="str">
        <f t="shared" si="2"/>
        <v>no</v>
      </c>
      <c r="J6" s="15" t="str">
        <f t="shared" si="3"/>
        <v>no</v>
      </c>
      <c r="K6" s="15">
        <f t="shared" si="4"/>
        <v>90</v>
      </c>
    </row>
    <row r="7" spans="1:12">
      <c r="A7" s="15" t="s">
        <v>27</v>
      </c>
      <c r="B7" s="15" t="s">
        <v>21</v>
      </c>
      <c r="C7" s="15">
        <v>1100</v>
      </c>
      <c r="D7" s="15">
        <v>10</v>
      </c>
      <c r="E7" s="15">
        <v>1000</v>
      </c>
      <c r="F7" s="15">
        <v>4.0999999999999996</v>
      </c>
      <c r="G7" s="15" t="str">
        <f t="shared" si="0"/>
        <v>yes</v>
      </c>
      <c r="H7" s="15">
        <f t="shared" si="1"/>
        <v>110</v>
      </c>
      <c r="I7" s="15" t="str">
        <f t="shared" si="2"/>
        <v>no</v>
      </c>
      <c r="J7" s="15" t="str">
        <f t="shared" si="3"/>
        <v>yes</v>
      </c>
      <c r="K7" s="15">
        <f t="shared" si="4"/>
        <v>110</v>
      </c>
    </row>
    <row r="8" spans="1:12">
      <c r="A8" s="15" t="s">
        <v>28</v>
      </c>
      <c r="B8" s="15" t="s">
        <v>23</v>
      </c>
      <c r="C8" s="15">
        <v>1400</v>
      </c>
      <c r="D8" s="15">
        <v>14</v>
      </c>
      <c r="E8" s="15">
        <v>1000</v>
      </c>
      <c r="F8" s="15">
        <v>4.3</v>
      </c>
      <c r="G8" s="15" t="str">
        <f t="shared" si="0"/>
        <v>yes</v>
      </c>
      <c r="H8" s="15">
        <f t="shared" si="1"/>
        <v>140</v>
      </c>
      <c r="I8" s="15" t="str">
        <f t="shared" si="2"/>
        <v>yes</v>
      </c>
      <c r="J8" s="15" t="str">
        <f t="shared" si="3"/>
        <v>yes</v>
      </c>
      <c r="K8" s="15">
        <f t="shared" si="4"/>
        <v>140</v>
      </c>
    </row>
    <row r="9" spans="1:12">
      <c r="A9" s="15" t="s">
        <v>29</v>
      </c>
      <c r="B9" s="15" t="s">
        <v>25</v>
      </c>
      <c r="C9" s="15">
        <v>1600</v>
      </c>
      <c r="D9" s="15">
        <v>16</v>
      </c>
      <c r="E9" s="15">
        <v>1000</v>
      </c>
      <c r="F9" s="15">
        <v>4.5999999999999996</v>
      </c>
      <c r="G9" s="15" t="str">
        <f t="shared" si="0"/>
        <v>yes</v>
      </c>
      <c r="H9" s="15">
        <f t="shared" si="1"/>
        <v>160</v>
      </c>
      <c r="I9" s="15" t="str">
        <f t="shared" si="2"/>
        <v>yes</v>
      </c>
      <c r="J9" s="15" t="str">
        <f t="shared" si="3"/>
        <v>yes</v>
      </c>
      <c r="K9" s="15">
        <f t="shared" si="4"/>
        <v>240</v>
      </c>
    </row>
    <row r="10" spans="1:12">
      <c r="A10" s="15" t="s">
        <v>30</v>
      </c>
      <c r="B10" s="15" t="s">
        <v>19</v>
      </c>
      <c r="C10" s="15">
        <v>1050</v>
      </c>
      <c r="D10" s="15">
        <v>10</v>
      </c>
      <c r="E10" s="15">
        <v>1000</v>
      </c>
      <c r="F10" s="15">
        <v>4</v>
      </c>
      <c r="G10" s="15" t="str">
        <f t="shared" si="0"/>
        <v>yes</v>
      </c>
      <c r="H10" s="15">
        <f t="shared" si="1"/>
        <v>105</v>
      </c>
      <c r="I10" s="15" t="str">
        <f t="shared" si="2"/>
        <v>no</v>
      </c>
      <c r="J10" s="15" t="str">
        <f t="shared" si="3"/>
        <v>no</v>
      </c>
      <c r="K10" s="15">
        <f t="shared" si="4"/>
        <v>105</v>
      </c>
    </row>
    <row r="11" spans="1:12">
      <c r="A11" s="15" t="s">
        <v>31</v>
      </c>
      <c r="B11" s="15" t="s">
        <v>21</v>
      </c>
      <c r="C11" s="15">
        <v>950</v>
      </c>
      <c r="D11" s="15">
        <v>7</v>
      </c>
      <c r="E11" s="15">
        <v>1000</v>
      </c>
      <c r="F11" s="15">
        <v>3.7</v>
      </c>
      <c r="G11" s="15" t="str">
        <f t="shared" si="0"/>
        <v>no</v>
      </c>
      <c r="H11" s="15" t="str">
        <f t="shared" si="1"/>
        <v>No Bonus</v>
      </c>
      <c r="I11" s="15" t="str">
        <f t="shared" si="2"/>
        <v>no</v>
      </c>
      <c r="J11" s="15" t="str">
        <f t="shared" si="3"/>
        <v>no</v>
      </c>
      <c r="K11" s="15">
        <f t="shared" si="4"/>
        <v>95</v>
      </c>
    </row>
    <row r="12" spans="1:12">
      <c r="A12" s="15" t="s">
        <v>32</v>
      </c>
      <c r="B12" s="15" t="s">
        <v>23</v>
      </c>
      <c r="C12" s="15">
        <v>1150</v>
      </c>
      <c r="D12" s="15">
        <v>11</v>
      </c>
      <c r="E12" s="15">
        <v>1000</v>
      </c>
      <c r="F12" s="15">
        <v>4.0999999999999996</v>
      </c>
      <c r="G12" s="15" t="str">
        <f t="shared" si="0"/>
        <v>yes</v>
      </c>
      <c r="H12" s="15">
        <f t="shared" si="1"/>
        <v>115</v>
      </c>
      <c r="I12" s="15" t="str">
        <f t="shared" si="2"/>
        <v>no</v>
      </c>
      <c r="J12" s="15" t="str">
        <f t="shared" si="3"/>
        <v>yes</v>
      </c>
      <c r="K12" s="15">
        <f t="shared" si="4"/>
        <v>115</v>
      </c>
    </row>
    <row r="13" spans="1:12">
      <c r="A13" s="15" t="s">
        <v>33</v>
      </c>
      <c r="B13" s="15" t="s">
        <v>25</v>
      </c>
      <c r="C13" s="15">
        <v>1350</v>
      </c>
      <c r="D13" s="15">
        <v>13</v>
      </c>
      <c r="E13" s="15">
        <v>1000</v>
      </c>
      <c r="F13" s="15">
        <v>4.4000000000000004</v>
      </c>
      <c r="G13" s="15" t="str">
        <f t="shared" si="0"/>
        <v>yes</v>
      </c>
      <c r="H13" s="15">
        <f t="shared" si="1"/>
        <v>135</v>
      </c>
      <c r="I13" s="15" t="str">
        <f t="shared" si="2"/>
        <v>yes</v>
      </c>
      <c r="J13" s="15" t="str">
        <f t="shared" si="3"/>
        <v>yes</v>
      </c>
      <c r="K13" s="15">
        <f t="shared" si="4"/>
        <v>135</v>
      </c>
    </row>
    <row r="14" spans="1:12">
      <c r="A14" s="15" t="s">
        <v>34</v>
      </c>
      <c r="B14" s="15" t="s">
        <v>19</v>
      </c>
      <c r="C14" s="15">
        <v>850</v>
      </c>
      <c r="D14" s="15">
        <v>8</v>
      </c>
      <c r="E14" s="15">
        <v>1000</v>
      </c>
      <c r="F14" s="15">
        <v>3.6</v>
      </c>
      <c r="G14" s="15" t="str">
        <f t="shared" si="0"/>
        <v>no</v>
      </c>
      <c r="H14" s="15" t="str">
        <f t="shared" si="1"/>
        <v>No Bonus</v>
      </c>
      <c r="I14" s="15" t="str">
        <f t="shared" si="2"/>
        <v>no</v>
      </c>
      <c r="J14" s="15" t="str">
        <f t="shared" si="3"/>
        <v>no</v>
      </c>
      <c r="K14" s="15">
        <f t="shared" si="4"/>
        <v>85</v>
      </c>
    </row>
    <row r="15" spans="1:12">
      <c r="A15" s="15" t="s">
        <v>35</v>
      </c>
      <c r="B15" s="15" t="s">
        <v>21</v>
      </c>
      <c r="C15" s="15">
        <v>1250</v>
      </c>
      <c r="D15" s="15">
        <v>12</v>
      </c>
      <c r="E15" s="15">
        <v>1000</v>
      </c>
      <c r="F15" s="15">
        <v>4.2</v>
      </c>
      <c r="G15" s="15" t="str">
        <f t="shared" si="0"/>
        <v>yes</v>
      </c>
      <c r="H15" s="15">
        <f t="shared" si="1"/>
        <v>125</v>
      </c>
      <c r="I15" s="15" t="str">
        <f t="shared" si="2"/>
        <v>yes</v>
      </c>
      <c r="J15" s="15" t="str">
        <f t="shared" si="3"/>
        <v>yes</v>
      </c>
      <c r="K15" s="15">
        <f t="shared" si="4"/>
        <v>125</v>
      </c>
    </row>
    <row r="16" spans="1:12">
      <c r="A16" s="15" t="s">
        <v>36</v>
      </c>
      <c r="B16" s="15" t="s">
        <v>23</v>
      </c>
      <c r="C16" s="15">
        <v>1300</v>
      </c>
      <c r="D16" s="15">
        <v>13</v>
      </c>
      <c r="E16" s="15">
        <v>1000</v>
      </c>
      <c r="F16" s="15">
        <v>4.3</v>
      </c>
      <c r="G16" s="15" t="str">
        <f t="shared" si="0"/>
        <v>yes</v>
      </c>
      <c r="H16" s="15">
        <f t="shared" si="1"/>
        <v>130</v>
      </c>
      <c r="I16" s="15" t="str">
        <f t="shared" si="2"/>
        <v>yes</v>
      </c>
      <c r="J16" s="15" t="str">
        <f t="shared" si="3"/>
        <v>yes</v>
      </c>
      <c r="K16" s="15">
        <f t="shared" si="4"/>
        <v>130</v>
      </c>
    </row>
    <row r="17" spans="1:11">
      <c r="A17" s="15" t="s">
        <v>37</v>
      </c>
      <c r="B17" s="15" t="s">
        <v>25</v>
      </c>
      <c r="C17" s="15">
        <v>1450</v>
      </c>
      <c r="D17" s="15">
        <v>15</v>
      </c>
      <c r="E17" s="15">
        <v>1000</v>
      </c>
      <c r="F17" s="15">
        <v>4.5</v>
      </c>
      <c r="G17" s="15" t="str">
        <f t="shared" si="0"/>
        <v>yes</v>
      </c>
      <c r="H17" s="15">
        <f t="shared" si="1"/>
        <v>145</v>
      </c>
      <c r="I17" s="15" t="str">
        <f t="shared" si="2"/>
        <v>yes</v>
      </c>
      <c r="J17" s="15" t="str">
        <f t="shared" si="3"/>
        <v>yes</v>
      </c>
      <c r="K17" s="15">
        <f t="shared" si="4"/>
        <v>145</v>
      </c>
    </row>
    <row r="18" spans="1:11">
      <c r="A18" s="15" t="s">
        <v>38</v>
      </c>
      <c r="B18" s="15" t="s">
        <v>19</v>
      </c>
      <c r="C18" s="15">
        <v>1100</v>
      </c>
      <c r="D18" s="15">
        <v>11</v>
      </c>
      <c r="E18" s="15">
        <v>1000</v>
      </c>
      <c r="F18" s="15">
        <v>4</v>
      </c>
      <c r="G18" s="15" t="str">
        <f t="shared" si="0"/>
        <v>yes</v>
      </c>
      <c r="H18" s="15">
        <f t="shared" si="1"/>
        <v>110</v>
      </c>
      <c r="I18" s="15" t="str">
        <f t="shared" si="2"/>
        <v>no</v>
      </c>
      <c r="J18" s="15" t="str">
        <f t="shared" si="3"/>
        <v>yes</v>
      </c>
      <c r="K18" s="15">
        <f t="shared" si="4"/>
        <v>110</v>
      </c>
    </row>
    <row r="19" spans="1:11">
      <c r="A19" s="15" t="s">
        <v>39</v>
      </c>
      <c r="B19" s="15" t="s">
        <v>21</v>
      </c>
      <c r="C19" s="15">
        <v>1050</v>
      </c>
      <c r="D19" s="15">
        <v>10</v>
      </c>
      <c r="E19" s="15">
        <v>1000</v>
      </c>
      <c r="F19" s="15">
        <v>4</v>
      </c>
      <c r="G19" s="15" t="str">
        <f t="shared" si="0"/>
        <v>yes</v>
      </c>
      <c r="H19" s="15">
        <f t="shared" si="1"/>
        <v>105</v>
      </c>
      <c r="I19" s="15" t="str">
        <f t="shared" si="2"/>
        <v>no</v>
      </c>
      <c r="J19" s="15" t="str">
        <f t="shared" si="3"/>
        <v>no</v>
      </c>
      <c r="K19" s="15">
        <f t="shared" si="4"/>
        <v>105</v>
      </c>
    </row>
    <row r="20" spans="1:11">
      <c r="A20" s="15" t="s">
        <v>40</v>
      </c>
      <c r="B20" s="15" t="s">
        <v>23</v>
      </c>
      <c r="C20" s="15">
        <v>1250</v>
      </c>
      <c r="D20" s="15">
        <v>12</v>
      </c>
      <c r="E20" s="15">
        <v>1000</v>
      </c>
      <c r="F20" s="15">
        <v>4.2</v>
      </c>
      <c r="G20" s="15" t="str">
        <f t="shared" si="0"/>
        <v>yes</v>
      </c>
      <c r="H20" s="15">
        <f t="shared" si="1"/>
        <v>125</v>
      </c>
      <c r="I20" s="15" t="str">
        <f t="shared" si="2"/>
        <v>yes</v>
      </c>
      <c r="J20" s="15" t="str">
        <f t="shared" si="3"/>
        <v>yes</v>
      </c>
      <c r="K20" s="15">
        <f t="shared" si="4"/>
        <v>125</v>
      </c>
    </row>
    <row r="21" spans="1:11">
      <c r="A21" s="15" t="s">
        <v>41</v>
      </c>
      <c r="B21" s="15" t="s">
        <v>25</v>
      </c>
      <c r="C21" s="15">
        <v>2000</v>
      </c>
      <c r="D21" s="15">
        <v>0</v>
      </c>
      <c r="E21" s="15">
        <v>1000</v>
      </c>
      <c r="F21" s="15">
        <v>4.5999999999999996</v>
      </c>
      <c r="G21" s="15" t="str">
        <f t="shared" si="0"/>
        <v>yes</v>
      </c>
      <c r="H21" s="15">
        <f t="shared" si="1"/>
        <v>200</v>
      </c>
      <c r="I21" s="15" t="str">
        <f t="shared" si="2"/>
        <v>no</v>
      </c>
      <c r="J21" s="15" t="str">
        <f t="shared" si="3"/>
        <v>yes</v>
      </c>
      <c r="K21" s="15">
        <f t="shared" si="4"/>
        <v>300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C1143-D328-42DF-AC72-C82FD38939F6}">
  <dimension ref="A1:O30"/>
  <sheetViews>
    <sheetView topLeftCell="B1" zoomScale="120" zoomScaleNormal="120" workbookViewId="0">
      <selection activeCell="P1" sqref="P1"/>
    </sheetView>
  </sheetViews>
  <sheetFormatPr defaultRowHeight="14.4"/>
  <cols>
    <col min="1" max="1" width="10.5546875" bestFit="1" customWidth="1"/>
    <col min="2" max="2" width="18.33203125" customWidth="1"/>
    <col min="3" max="3" width="28" customWidth="1"/>
    <col min="4" max="4" width="25.109375" customWidth="1"/>
    <col min="5" max="5" width="21.109375" customWidth="1"/>
    <col min="6" max="6" width="14.77734375" customWidth="1"/>
    <col min="7" max="7" width="17.88671875" customWidth="1"/>
    <col min="8" max="8" width="38.5546875" hidden="1" customWidth="1"/>
    <col min="9" max="9" width="20.109375" hidden="1" customWidth="1"/>
    <col min="10" max="10" width="17.6640625" hidden="1" customWidth="1"/>
    <col min="11" max="11" width="10.44140625" hidden="1" customWidth="1"/>
    <col min="12" max="12" width="18.33203125" hidden="1" customWidth="1"/>
    <col min="13" max="13" width="9" hidden="1" customWidth="1"/>
    <col min="14" max="14" width="17" customWidth="1"/>
    <col min="15" max="15" width="18" customWidth="1"/>
  </cols>
  <sheetData>
    <row r="1" spans="1:15" ht="54">
      <c r="A1" s="5" t="s">
        <v>12</v>
      </c>
      <c r="B1" s="5" t="s">
        <v>13</v>
      </c>
      <c r="C1" s="5" t="s">
        <v>14</v>
      </c>
      <c r="D1" s="5" t="s">
        <v>15</v>
      </c>
      <c r="E1" s="5" t="s">
        <v>16</v>
      </c>
      <c r="F1" s="5" t="s">
        <v>17</v>
      </c>
      <c r="G1" s="5" t="s">
        <v>64</v>
      </c>
      <c r="H1" s="5" t="s">
        <v>64</v>
      </c>
      <c r="I1" s="5" t="s">
        <v>64</v>
      </c>
      <c r="J1" s="5" t="s">
        <v>64</v>
      </c>
      <c r="K1" s="5" t="s">
        <v>64</v>
      </c>
      <c r="L1" s="5" t="s">
        <v>64</v>
      </c>
      <c r="M1" s="5" t="s">
        <v>64</v>
      </c>
      <c r="N1" s="5" t="s">
        <v>64</v>
      </c>
      <c r="O1" s="5" t="s">
        <v>101</v>
      </c>
    </row>
    <row r="2" spans="1:15">
      <c r="A2" s="25" t="s">
        <v>18</v>
      </c>
      <c r="B2" s="25" t="s">
        <v>19</v>
      </c>
      <c r="C2" s="25">
        <v>1500</v>
      </c>
      <c r="D2" s="25">
        <v>15</v>
      </c>
      <c r="E2" s="25">
        <v>1000</v>
      </c>
      <c r="F2" s="25">
        <v>4.5</v>
      </c>
      <c r="G2" s="25" t="str">
        <f>IF(ISBLANK(C2),"Data is missing",IF(C2&gt;E2,"Yes","no"))</f>
        <v>Yes</v>
      </c>
      <c r="H2" s="15" t="str">
        <f>IFERROR(IF(OR(C2 = 0, D2 = 0), "Error", "Valid"), "Error")</f>
        <v>Valid</v>
      </c>
      <c r="I2" t="str">
        <f>IF(C2&gt;E2,"Bonus","no bonus")</f>
        <v>Bonus</v>
      </c>
      <c r="J2" t="str">
        <f>IF(OR(ISBLANK(C2),ISBLANK(E2)),"Dats is missing",IF(C2&gt;E2,"bonus","no bonus"))</f>
        <v>bonus</v>
      </c>
      <c r="K2" t="str">
        <f>IF(C2&gt;E2,"yes","no")</f>
        <v>yes</v>
      </c>
      <c r="L2" t="str">
        <f>IF(OR(ISBLANK(C2),ISBLANK(E2)),"Data is missing",IF(C2&gt;E2,"bonus","No Bonus"))</f>
        <v>bonus</v>
      </c>
      <c r="N2" t="str">
        <f>IF(C2&gt;E2,"Bonus","NO Bonus")</f>
        <v>Bonus</v>
      </c>
      <c r="O2">
        <f>IF(OR(ISBLANK(C2),ISBLANK(E2)),"Data is Missing",IF(C2&gt;E2,C2*10%,0))</f>
        <v>150</v>
      </c>
    </row>
    <row r="3" spans="1:15">
      <c r="A3" s="40" t="s">
        <v>20</v>
      </c>
      <c r="B3" s="40" t="s">
        <v>21</v>
      </c>
      <c r="C3" s="43"/>
      <c r="D3" s="40">
        <v>8</v>
      </c>
      <c r="E3" s="40">
        <v>1000</v>
      </c>
      <c r="F3" s="40">
        <v>3.8</v>
      </c>
      <c r="G3" s="44" t="str">
        <f t="shared" ref="G3:G21" si="0">IF(ISBLANK(C3),"Data is missing",IF(C3&gt;E3,"Yes","no"))</f>
        <v>Data is missing</v>
      </c>
      <c r="H3" s="40" t="str">
        <f t="shared" ref="H3:H21" si="1">IFERROR(IF(OR(C3 = 0, D3 = 0), "Error", "Valid"), "Error")</f>
        <v>Error</v>
      </c>
      <c r="I3" s="41" t="str">
        <f t="shared" ref="I3:I21" si="2">IF(C3&gt;E3,"Bonus","no bonus")</f>
        <v>no bonus</v>
      </c>
      <c r="J3" s="41" t="str">
        <f t="shared" ref="J3:J21" si="3">IF(OR(ISBLANK(C3),ISBLANK(E3)),"Dats is missing",IF(C3&gt;E3,"bonus","no bonus"))</f>
        <v>Dats is missing</v>
      </c>
      <c r="K3" s="41" t="str">
        <f t="shared" ref="K3:K21" si="4">IF(C3&gt;E3,"yes","no")</f>
        <v>no</v>
      </c>
      <c r="L3" s="41" t="str">
        <f t="shared" ref="L3:L21" si="5">IF(OR(ISBLANK(C3),ISBLANK(E3)),"Data is missing",IF(C3&gt;E3,"bonus","No Bonus"))</f>
        <v>Data is missing</v>
      </c>
      <c r="M3" s="41"/>
      <c r="N3" s="42" t="str">
        <f t="shared" ref="N3:N21" si="6">IF(C3&gt;E3,"Bonus","NO Bonus")</f>
        <v>NO Bonus</v>
      </c>
      <c r="O3" t="str">
        <f t="shared" ref="O3:O21" si="7">IF(OR(ISBLANK(C3),ISBLANK(E3)),"Data is Missing",IF(C3&gt;E3,C3*10%,0))</f>
        <v>Data is Missing</v>
      </c>
    </row>
    <row r="4" spans="1:15">
      <c r="A4" s="25" t="s">
        <v>22</v>
      </c>
      <c r="B4" s="25" t="s">
        <v>23</v>
      </c>
      <c r="C4" s="25">
        <v>1200</v>
      </c>
      <c r="D4" s="25">
        <v>12</v>
      </c>
      <c r="E4" s="25">
        <v>1000</v>
      </c>
      <c r="F4" s="25"/>
      <c r="G4" s="25" t="str">
        <f t="shared" si="0"/>
        <v>Yes</v>
      </c>
      <c r="H4" s="15" t="str">
        <f t="shared" si="1"/>
        <v>Valid</v>
      </c>
      <c r="I4" t="str">
        <f t="shared" si="2"/>
        <v>Bonus</v>
      </c>
      <c r="J4" t="str">
        <f t="shared" si="3"/>
        <v>bonus</v>
      </c>
      <c r="K4" t="str">
        <f t="shared" si="4"/>
        <v>yes</v>
      </c>
      <c r="L4" t="str">
        <f t="shared" si="5"/>
        <v>bonus</v>
      </c>
      <c r="N4" t="str">
        <f t="shared" si="6"/>
        <v>Bonus</v>
      </c>
      <c r="O4">
        <f t="shared" si="7"/>
        <v>120</v>
      </c>
    </row>
    <row r="5" spans="1:15">
      <c r="A5" s="25" t="s">
        <v>24</v>
      </c>
      <c r="B5" s="25" t="s">
        <v>25</v>
      </c>
      <c r="C5" s="25">
        <v>1300</v>
      </c>
      <c r="D5" s="25">
        <v>11</v>
      </c>
      <c r="E5" s="25">
        <v>1000</v>
      </c>
      <c r="F5" s="25">
        <v>4</v>
      </c>
      <c r="G5" s="25" t="str">
        <f t="shared" si="0"/>
        <v>Yes</v>
      </c>
      <c r="H5" s="15" t="str">
        <f t="shared" si="1"/>
        <v>Valid</v>
      </c>
      <c r="I5" t="str">
        <f t="shared" si="2"/>
        <v>Bonus</v>
      </c>
      <c r="J5" t="str">
        <f t="shared" si="3"/>
        <v>bonus</v>
      </c>
      <c r="K5" t="str">
        <f t="shared" si="4"/>
        <v>yes</v>
      </c>
      <c r="L5" t="str">
        <f t="shared" si="5"/>
        <v>bonus</v>
      </c>
      <c r="N5" t="str">
        <f t="shared" si="6"/>
        <v>Bonus</v>
      </c>
      <c r="O5">
        <f t="shared" si="7"/>
        <v>130</v>
      </c>
    </row>
    <row r="6" spans="1:15">
      <c r="A6" s="40" t="s">
        <v>26</v>
      </c>
      <c r="B6" s="40" t="s">
        <v>19</v>
      </c>
      <c r="C6" s="40">
        <v>900</v>
      </c>
      <c r="D6" s="40">
        <v>9</v>
      </c>
      <c r="E6" s="40"/>
      <c r="F6" s="40">
        <v>3.9</v>
      </c>
      <c r="G6" s="44" t="str">
        <f t="shared" si="0"/>
        <v>Yes</v>
      </c>
      <c r="H6" s="40" t="str">
        <f t="shared" si="1"/>
        <v>Valid</v>
      </c>
      <c r="I6" s="41" t="str">
        <f t="shared" si="2"/>
        <v>Bonus</v>
      </c>
      <c r="J6" s="41" t="str">
        <f t="shared" si="3"/>
        <v>Dats is missing</v>
      </c>
      <c r="K6" s="41" t="str">
        <f t="shared" si="4"/>
        <v>yes</v>
      </c>
      <c r="L6" s="41" t="str">
        <f t="shared" si="5"/>
        <v>Data is missing</v>
      </c>
      <c r="M6" s="41"/>
      <c r="N6" s="42" t="str">
        <f t="shared" si="6"/>
        <v>Bonus</v>
      </c>
      <c r="O6" t="str">
        <f t="shared" si="7"/>
        <v>Data is Missing</v>
      </c>
    </row>
    <row r="7" spans="1:15">
      <c r="A7" s="25" t="s">
        <v>27</v>
      </c>
      <c r="B7" s="25" t="s">
        <v>21</v>
      </c>
      <c r="C7" s="25">
        <v>1100</v>
      </c>
      <c r="D7" s="25">
        <v>10</v>
      </c>
      <c r="E7" s="25">
        <v>1000</v>
      </c>
      <c r="F7" s="25">
        <v>4.0999999999999996</v>
      </c>
      <c r="G7" s="25" t="str">
        <f t="shared" si="0"/>
        <v>Yes</v>
      </c>
      <c r="H7" s="15" t="str">
        <f t="shared" si="1"/>
        <v>Valid</v>
      </c>
      <c r="I7" t="str">
        <f t="shared" si="2"/>
        <v>Bonus</v>
      </c>
      <c r="J7" t="str">
        <f t="shared" si="3"/>
        <v>bonus</v>
      </c>
      <c r="K7" t="str">
        <f t="shared" si="4"/>
        <v>yes</v>
      </c>
      <c r="L7" t="str">
        <f t="shared" si="5"/>
        <v>bonus</v>
      </c>
      <c r="N7" t="str">
        <f t="shared" si="6"/>
        <v>Bonus</v>
      </c>
      <c r="O7">
        <f t="shared" si="7"/>
        <v>110</v>
      </c>
    </row>
    <row r="8" spans="1:15">
      <c r="A8" s="40" t="s">
        <v>28</v>
      </c>
      <c r="B8" s="25" t="s">
        <v>23</v>
      </c>
      <c r="C8" s="25">
        <v>1400</v>
      </c>
      <c r="D8" s="40"/>
      <c r="E8" s="25">
        <v>1000</v>
      </c>
      <c r="F8" s="25">
        <v>4.3</v>
      </c>
      <c r="G8" s="25" t="str">
        <f t="shared" si="0"/>
        <v>Yes</v>
      </c>
      <c r="H8" s="15" t="str">
        <f t="shared" si="1"/>
        <v>Error</v>
      </c>
      <c r="I8" t="str">
        <f t="shared" si="2"/>
        <v>Bonus</v>
      </c>
      <c r="J8" t="str">
        <f t="shared" si="3"/>
        <v>bonus</v>
      </c>
      <c r="K8" t="str">
        <f t="shared" si="4"/>
        <v>yes</v>
      </c>
      <c r="L8" t="str">
        <f t="shared" si="5"/>
        <v>bonus</v>
      </c>
      <c r="N8" t="str">
        <f t="shared" si="6"/>
        <v>Bonus</v>
      </c>
      <c r="O8">
        <f t="shared" si="7"/>
        <v>140</v>
      </c>
    </row>
    <row r="9" spans="1:15">
      <c r="A9" s="25" t="s">
        <v>29</v>
      </c>
      <c r="B9" s="25" t="s">
        <v>25</v>
      </c>
      <c r="C9" s="25">
        <v>1600</v>
      </c>
      <c r="D9" s="25">
        <v>16</v>
      </c>
      <c r="E9" s="25">
        <v>1000</v>
      </c>
      <c r="F9" s="25">
        <v>4.5999999999999996</v>
      </c>
      <c r="G9" s="25" t="str">
        <f t="shared" si="0"/>
        <v>Yes</v>
      </c>
      <c r="H9" s="15" t="str">
        <f t="shared" si="1"/>
        <v>Valid</v>
      </c>
      <c r="I9" t="str">
        <f t="shared" si="2"/>
        <v>Bonus</v>
      </c>
      <c r="J9" t="str">
        <f t="shared" si="3"/>
        <v>bonus</v>
      </c>
      <c r="K9" t="str">
        <f t="shared" si="4"/>
        <v>yes</v>
      </c>
      <c r="L9" t="str">
        <f t="shared" si="5"/>
        <v>bonus</v>
      </c>
      <c r="N9" t="str">
        <f t="shared" si="6"/>
        <v>Bonus</v>
      </c>
      <c r="O9">
        <f t="shared" si="7"/>
        <v>160</v>
      </c>
    </row>
    <row r="10" spans="1:15">
      <c r="A10" s="25" t="s">
        <v>30</v>
      </c>
      <c r="B10" s="25" t="s">
        <v>19</v>
      </c>
      <c r="C10" s="25">
        <v>1050</v>
      </c>
      <c r="D10" s="25">
        <v>10</v>
      </c>
      <c r="E10" s="25">
        <v>1000</v>
      </c>
      <c r="F10" s="25">
        <v>4</v>
      </c>
      <c r="G10" s="25" t="str">
        <f t="shared" si="0"/>
        <v>Yes</v>
      </c>
      <c r="H10" s="15" t="str">
        <f t="shared" si="1"/>
        <v>Valid</v>
      </c>
      <c r="I10" t="str">
        <f t="shared" si="2"/>
        <v>Bonus</v>
      </c>
      <c r="J10" t="str">
        <f t="shared" si="3"/>
        <v>bonus</v>
      </c>
      <c r="K10" t="str">
        <f t="shared" si="4"/>
        <v>yes</v>
      </c>
      <c r="L10" t="str">
        <f t="shared" si="5"/>
        <v>bonus</v>
      </c>
      <c r="M10" s="27"/>
      <c r="N10" t="str">
        <f t="shared" si="6"/>
        <v>Bonus</v>
      </c>
      <c r="O10">
        <f t="shared" si="7"/>
        <v>105</v>
      </c>
    </row>
    <row r="11" spans="1:15">
      <c r="A11" s="25" t="s">
        <v>31</v>
      </c>
      <c r="B11" s="25" t="s">
        <v>21</v>
      </c>
      <c r="C11" s="25">
        <v>950</v>
      </c>
      <c r="D11" s="25">
        <v>7</v>
      </c>
      <c r="E11" s="25">
        <v>1000</v>
      </c>
      <c r="F11" s="25">
        <v>3.7</v>
      </c>
      <c r="G11" s="25" t="str">
        <f t="shared" si="0"/>
        <v>no</v>
      </c>
      <c r="H11" s="15" t="str">
        <f t="shared" si="1"/>
        <v>Valid</v>
      </c>
      <c r="I11" t="str">
        <f t="shared" si="2"/>
        <v>no bonus</v>
      </c>
      <c r="J11" t="str">
        <f t="shared" si="3"/>
        <v>no bonus</v>
      </c>
      <c r="K11" t="str">
        <f t="shared" si="4"/>
        <v>no</v>
      </c>
      <c r="L11" t="str">
        <f t="shared" si="5"/>
        <v>No Bonus</v>
      </c>
      <c r="N11" t="str">
        <f t="shared" si="6"/>
        <v>NO Bonus</v>
      </c>
      <c r="O11">
        <f t="shared" si="7"/>
        <v>0</v>
      </c>
    </row>
    <row r="12" spans="1:15">
      <c r="A12" s="25" t="s">
        <v>32</v>
      </c>
      <c r="B12" s="25" t="s">
        <v>23</v>
      </c>
      <c r="C12" s="25">
        <v>1150</v>
      </c>
      <c r="D12" s="25">
        <v>11</v>
      </c>
      <c r="E12" s="25">
        <v>1000</v>
      </c>
      <c r="F12" s="25">
        <v>4.0999999999999996</v>
      </c>
      <c r="G12" s="25" t="str">
        <f t="shared" si="0"/>
        <v>Yes</v>
      </c>
      <c r="H12" s="15" t="str">
        <f t="shared" si="1"/>
        <v>Valid</v>
      </c>
      <c r="I12" t="str">
        <f t="shared" si="2"/>
        <v>Bonus</v>
      </c>
      <c r="J12" t="str">
        <f t="shared" si="3"/>
        <v>bonus</v>
      </c>
      <c r="K12" t="str">
        <f t="shared" si="4"/>
        <v>yes</v>
      </c>
      <c r="L12" t="str">
        <f t="shared" si="5"/>
        <v>bonus</v>
      </c>
      <c r="N12" t="str">
        <f t="shared" si="6"/>
        <v>Bonus</v>
      </c>
      <c r="O12">
        <f t="shared" si="7"/>
        <v>115</v>
      </c>
    </row>
    <row r="13" spans="1:15">
      <c r="A13" s="25" t="s">
        <v>33</v>
      </c>
      <c r="B13" s="25" t="s">
        <v>25</v>
      </c>
      <c r="C13" s="25">
        <v>1350</v>
      </c>
      <c r="D13" s="25">
        <v>13</v>
      </c>
      <c r="E13" s="25">
        <v>1000</v>
      </c>
      <c r="F13" s="25">
        <v>4.4000000000000004</v>
      </c>
      <c r="G13" s="25" t="str">
        <f t="shared" si="0"/>
        <v>Yes</v>
      </c>
      <c r="H13" s="15" t="str">
        <f t="shared" si="1"/>
        <v>Valid</v>
      </c>
      <c r="I13" t="str">
        <f t="shared" si="2"/>
        <v>Bonus</v>
      </c>
      <c r="J13" t="str">
        <f t="shared" si="3"/>
        <v>bonus</v>
      </c>
      <c r="K13" t="str">
        <f t="shared" si="4"/>
        <v>yes</v>
      </c>
      <c r="L13" t="str">
        <f t="shared" si="5"/>
        <v>bonus</v>
      </c>
      <c r="M13" t="b">
        <f>ISBLANK(M10)</f>
        <v>1</v>
      </c>
      <c r="N13" t="str">
        <f t="shared" si="6"/>
        <v>Bonus</v>
      </c>
      <c r="O13">
        <f t="shared" si="7"/>
        <v>135</v>
      </c>
    </row>
    <row r="14" spans="1:15">
      <c r="A14" s="25" t="s">
        <v>34</v>
      </c>
      <c r="B14" s="25" t="s">
        <v>19</v>
      </c>
      <c r="C14" s="25">
        <v>850</v>
      </c>
      <c r="D14" s="25">
        <v>8</v>
      </c>
      <c r="E14" s="25">
        <v>1000</v>
      </c>
      <c r="F14" s="25">
        <v>3.6</v>
      </c>
      <c r="G14" s="25" t="str">
        <f t="shared" si="0"/>
        <v>no</v>
      </c>
      <c r="H14" s="15" t="str">
        <f t="shared" si="1"/>
        <v>Valid</v>
      </c>
      <c r="I14" t="str">
        <f t="shared" si="2"/>
        <v>no bonus</v>
      </c>
      <c r="J14" t="str">
        <f t="shared" si="3"/>
        <v>no bonus</v>
      </c>
      <c r="K14" t="str">
        <f t="shared" si="4"/>
        <v>no</v>
      </c>
      <c r="L14" t="str">
        <f t="shared" si="5"/>
        <v>No Bonus</v>
      </c>
      <c r="N14" t="str">
        <f t="shared" si="6"/>
        <v>NO Bonus</v>
      </c>
      <c r="O14">
        <f t="shared" si="7"/>
        <v>0</v>
      </c>
    </row>
    <row r="15" spans="1:15">
      <c r="A15" s="25" t="s">
        <v>35</v>
      </c>
      <c r="B15" s="25" t="s">
        <v>21</v>
      </c>
      <c r="C15" s="25">
        <v>1250</v>
      </c>
      <c r="D15" s="25">
        <v>12</v>
      </c>
      <c r="E15" s="25">
        <v>1000</v>
      </c>
      <c r="F15" s="25">
        <v>4.2</v>
      </c>
      <c r="G15" s="25" t="str">
        <f t="shared" si="0"/>
        <v>Yes</v>
      </c>
      <c r="H15" s="15" t="str">
        <f t="shared" si="1"/>
        <v>Valid</v>
      </c>
      <c r="I15" t="str">
        <f t="shared" si="2"/>
        <v>Bonus</v>
      </c>
      <c r="J15" t="str">
        <f t="shared" si="3"/>
        <v>bonus</v>
      </c>
      <c r="K15" t="str">
        <f t="shared" si="4"/>
        <v>yes</v>
      </c>
      <c r="L15" t="str">
        <f t="shared" si="5"/>
        <v>bonus</v>
      </c>
      <c r="N15" t="str">
        <f t="shared" si="6"/>
        <v>Bonus</v>
      </c>
      <c r="O15">
        <f t="shared" si="7"/>
        <v>125</v>
      </c>
    </row>
    <row r="16" spans="1:15">
      <c r="A16" s="25" t="s">
        <v>36</v>
      </c>
      <c r="B16" s="25" t="s">
        <v>23</v>
      </c>
      <c r="C16" s="25">
        <v>1300</v>
      </c>
      <c r="D16" s="25">
        <v>13</v>
      </c>
      <c r="E16" s="25">
        <v>1000</v>
      </c>
      <c r="F16" s="25">
        <v>4.3</v>
      </c>
      <c r="G16" s="25" t="str">
        <f t="shared" si="0"/>
        <v>Yes</v>
      </c>
      <c r="H16" s="15" t="str">
        <f t="shared" si="1"/>
        <v>Valid</v>
      </c>
      <c r="I16" t="str">
        <f t="shared" si="2"/>
        <v>Bonus</v>
      </c>
      <c r="J16" t="str">
        <f t="shared" si="3"/>
        <v>bonus</v>
      </c>
      <c r="K16" t="str">
        <f t="shared" si="4"/>
        <v>yes</v>
      </c>
      <c r="L16" t="str">
        <f t="shared" si="5"/>
        <v>bonus</v>
      </c>
      <c r="N16" t="str">
        <f t="shared" si="6"/>
        <v>Bonus</v>
      </c>
      <c r="O16">
        <f t="shared" si="7"/>
        <v>130</v>
      </c>
    </row>
    <row r="17" spans="1:15">
      <c r="A17" s="25" t="s">
        <v>37</v>
      </c>
      <c r="B17" s="25" t="s">
        <v>25</v>
      </c>
      <c r="C17" s="25">
        <v>1450</v>
      </c>
      <c r="D17" s="25">
        <v>15</v>
      </c>
      <c r="E17" s="25">
        <v>1000</v>
      </c>
      <c r="F17" s="25">
        <v>4.5</v>
      </c>
      <c r="G17" s="25" t="str">
        <f t="shared" si="0"/>
        <v>Yes</v>
      </c>
      <c r="H17" s="15" t="str">
        <f t="shared" si="1"/>
        <v>Valid</v>
      </c>
      <c r="I17" t="str">
        <f t="shared" si="2"/>
        <v>Bonus</v>
      </c>
      <c r="J17" t="str">
        <f t="shared" si="3"/>
        <v>bonus</v>
      </c>
      <c r="K17" t="str">
        <f t="shared" si="4"/>
        <v>yes</v>
      </c>
      <c r="L17" t="str">
        <f t="shared" si="5"/>
        <v>bonus</v>
      </c>
      <c r="N17" t="str">
        <f t="shared" si="6"/>
        <v>Bonus</v>
      </c>
      <c r="O17">
        <f t="shared" si="7"/>
        <v>145</v>
      </c>
    </row>
    <row r="18" spans="1:15">
      <c r="A18" s="25" t="s">
        <v>38</v>
      </c>
      <c r="B18" s="25" t="s">
        <v>19</v>
      </c>
      <c r="C18" s="26">
        <v>1100</v>
      </c>
      <c r="D18" s="40"/>
      <c r="E18" s="26">
        <v>1000</v>
      </c>
      <c r="F18" s="26">
        <v>4</v>
      </c>
      <c r="G18" s="26" t="str">
        <f t="shared" si="0"/>
        <v>Yes</v>
      </c>
      <c r="H18" s="26" t="str">
        <f t="shared" si="1"/>
        <v>Error</v>
      </c>
      <c r="I18" s="27" t="str">
        <f t="shared" si="2"/>
        <v>Bonus</v>
      </c>
      <c r="J18" s="27" t="str">
        <f t="shared" si="3"/>
        <v>bonus</v>
      </c>
      <c r="K18" s="27" t="str">
        <f t="shared" si="4"/>
        <v>yes</v>
      </c>
      <c r="L18" t="str">
        <f t="shared" si="5"/>
        <v>bonus</v>
      </c>
      <c r="N18" t="str">
        <f t="shared" si="6"/>
        <v>Bonus</v>
      </c>
      <c r="O18">
        <f t="shared" si="7"/>
        <v>110</v>
      </c>
    </row>
    <row r="19" spans="1:15">
      <c r="A19" s="25" t="s">
        <v>39</v>
      </c>
      <c r="B19" s="25" t="s">
        <v>21</v>
      </c>
      <c r="C19" s="25">
        <v>1050</v>
      </c>
      <c r="D19" s="25">
        <v>10</v>
      </c>
      <c r="E19" s="25">
        <v>1000</v>
      </c>
      <c r="F19" s="25"/>
      <c r="G19" s="25" t="str">
        <f t="shared" si="0"/>
        <v>Yes</v>
      </c>
      <c r="H19" s="15" t="str">
        <f t="shared" si="1"/>
        <v>Valid</v>
      </c>
      <c r="I19" t="str">
        <f t="shared" si="2"/>
        <v>Bonus</v>
      </c>
      <c r="J19" t="str">
        <f t="shared" si="3"/>
        <v>bonus</v>
      </c>
      <c r="K19" t="str">
        <f t="shared" si="4"/>
        <v>yes</v>
      </c>
      <c r="L19" t="str">
        <f t="shared" si="5"/>
        <v>bonus</v>
      </c>
      <c r="N19" t="str">
        <f t="shared" si="6"/>
        <v>Bonus</v>
      </c>
      <c r="O19">
        <f t="shared" si="7"/>
        <v>105</v>
      </c>
    </row>
    <row r="20" spans="1:15">
      <c r="A20" s="40" t="s">
        <v>40</v>
      </c>
      <c r="B20" s="40" t="s">
        <v>23</v>
      </c>
      <c r="C20" s="40"/>
      <c r="D20" s="40">
        <v>12</v>
      </c>
      <c r="E20" s="40">
        <v>1000</v>
      </c>
      <c r="F20" s="40">
        <v>4.2</v>
      </c>
      <c r="G20" s="44" t="str">
        <f t="shared" si="0"/>
        <v>Data is missing</v>
      </c>
      <c r="H20" s="26" t="str">
        <f t="shared" si="1"/>
        <v>Error</v>
      </c>
      <c r="I20" s="27" t="str">
        <f t="shared" si="2"/>
        <v>no bonus</v>
      </c>
      <c r="J20" s="27" t="str">
        <f t="shared" si="3"/>
        <v>Dats is missing</v>
      </c>
      <c r="K20" s="27" t="str">
        <f t="shared" si="4"/>
        <v>no</v>
      </c>
      <c r="L20" s="27" t="str">
        <f t="shared" si="5"/>
        <v>Data is missing</v>
      </c>
      <c r="N20" s="42" t="str">
        <f>IF(C20&gt;E20,"Bonus","NO Bonus")</f>
        <v>NO Bonus</v>
      </c>
      <c r="O20" t="str">
        <f t="shared" si="7"/>
        <v>Data is Missing</v>
      </c>
    </row>
    <row r="21" spans="1:15">
      <c r="A21" s="25" t="s">
        <v>41</v>
      </c>
      <c r="B21" s="25" t="s">
        <v>25</v>
      </c>
      <c r="C21" s="25">
        <v>1550</v>
      </c>
      <c r="D21" s="25">
        <v>16</v>
      </c>
      <c r="E21" s="25">
        <v>1000</v>
      </c>
      <c r="F21" s="25">
        <v>4.5999999999999996</v>
      </c>
      <c r="G21" s="25" t="str">
        <f t="shared" si="0"/>
        <v>Yes</v>
      </c>
      <c r="H21" s="15" t="str">
        <f t="shared" si="1"/>
        <v>Valid</v>
      </c>
      <c r="I21" t="str">
        <f t="shared" si="2"/>
        <v>Bonus</v>
      </c>
      <c r="J21" t="str">
        <f t="shared" si="3"/>
        <v>bonus</v>
      </c>
      <c r="K21" t="str">
        <f t="shared" si="4"/>
        <v>yes</v>
      </c>
      <c r="L21" t="str">
        <f t="shared" si="5"/>
        <v>bonus</v>
      </c>
      <c r="N21" t="str">
        <f t="shared" si="6"/>
        <v>Bonus</v>
      </c>
      <c r="O21">
        <f t="shared" si="7"/>
        <v>155</v>
      </c>
    </row>
    <row r="25" spans="1:15">
      <c r="D25" s="45"/>
    </row>
    <row r="30" spans="1:15">
      <c r="D30" s="4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0722A-3620-4307-926E-9D2780FD8530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25176-40FF-4504-B065-33FABCF662F3}">
  <dimension ref="P3:T9"/>
  <sheetViews>
    <sheetView topLeftCell="D5" zoomScale="145" zoomScaleNormal="203" workbookViewId="0">
      <selection activeCell="L19" sqref="L19"/>
    </sheetView>
  </sheetViews>
  <sheetFormatPr defaultRowHeight="14.4"/>
  <cols>
    <col min="16" max="16" width="21" customWidth="1"/>
    <col min="17" max="17" width="14.33203125" customWidth="1"/>
    <col min="18" max="18" width="15.88671875" customWidth="1"/>
    <col min="19" max="19" width="17.33203125" customWidth="1"/>
    <col min="20" max="20" width="28.21875" bestFit="1" customWidth="1"/>
  </cols>
  <sheetData>
    <row r="3" spans="16:20" ht="36">
      <c r="P3" s="5" t="s">
        <v>77</v>
      </c>
      <c r="Q3" s="5" t="s">
        <v>78</v>
      </c>
      <c r="R3" s="5" t="s">
        <v>16</v>
      </c>
      <c r="S3" s="5" t="s">
        <v>79</v>
      </c>
      <c r="T3" s="18"/>
    </row>
    <row r="4" spans="16:20">
      <c r="P4" s="8" t="s">
        <v>68</v>
      </c>
      <c r="Q4" s="8">
        <v>15000</v>
      </c>
      <c r="R4" s="17">
        <v>10000</v>
      </c>
      <c r="S4" s="8" t="str">
        <f>IF(Q4&gt;=R4,"Bonus","No Bonus")</f>
        <v>Bonus</v>
      </c>
      <c r="T4" t="str">
        <f ca="1">_xlfn.FORMULATEXT(S4)</f>
        <v>=IF(Q4&gt;=R4,"Bonus","No Bonus")</v>
      </c>
    </row>
    <row r="5" spans="16:20">
      <c r="P5" s="28" t="s">
        <v>69</v>
      </c>
      <c r="Q5" s="28">
        <v>9000</v>
      </c>
      <c r="R5" s="28">
        <v>10000</v>
      </c>
      <c r="S5" s="28" t="str">
        <f t="shared" ref="S5:S9" si="0">IF(Q5&gt;=R5,"Bonus","No Bonus")</f>
        <v>No Bonus</v>
      </c>
      <c r="T5" t="str">
        <f t="shared" ref="T5:T9" ca="1" si="1">_xlfn.FORMULATEXT(S5)</f>
        <v>=IF(Q5&gt;=R5,"Bonus","No Bonus")</v>
      </c>
    </row>
    <row r="6" spans="16:20">
      <c r="P6" s="8" t="s">
        <v>70</v>
      </c>
      <c r="Q6" s="8">
        <v>12000</v>
      </c>
      <c r="R6" s="17">
        <v>10000</v>
      </c>
      <c r="S6" s="8" t="str">
        <f t="shared" si="0"/>
        <v>Bonus</v>
      </c>
      <c r="T6" t="str">
        <f t="shared" ca="1" si="1"/>
        <v>=IF(Q6&gt;=R6,"Bonus","No Bonus")</v>
      </c>
    </row>
    <row r="7" spans="16:20">
      <c r="P7" s="8" t="s">
        <v>71</v>
      </c>
      <c r="Q7" s="8">
        <v>14000</v>
      </c>
      <c r="R7" s="17">
        <v>10000</v>
      </c>
      <c r="S7" s="8" t="str">
        <f t="shared" si="0"/>
        <v>Bonus</v>
      </c>
      <c r="T7" t="str">
        <f t="shared" ca="1" si="1"/>
        <v>=IF(Q7&gt;=R7,"Bonus","No Bonus")</v>
      </c>
    </row>
    <row r="8" spans="16:20">
      <c r="P8" s="28" t="s">
        <v>72</v>
      </c>
      <c r="Q8" s="28">
        <v>8000</v>
      </c>
      <c r="R8" s="28">
        <v>10000</v>
      </c>
      <c r="S8" s="28" t="str">
        <f t="shared" si="0"/>
        <v>No Bonus</v>
      </c>
      <c r="T8" t="str">
        <f t="shared" ca="1" si="1"/>
        <v>=IF(Q8&gt;=R8,"Bonus","No Bonus")</v>
      </c>
    </row>
    <row r="9" spans="16:20">
      <c r="P9" s="8" t="s">
        <v>73</v>
      </c>
      <c r="Q9" s="8">
        <v>20000</v>
      </c>
      <c r="R9" s="17">
        <v>10000</v>
      </c>
      <c r="S9" s="8" t="str">
        <f t="shared" si="0"/>
        <v>Bonus</v>
      </c>
      <c r="T9" t="str">
        <f t="shared" ca="1" si="1"/>
        <v>=IF(Q9&gt;=R9,"Bonus","No Bonus")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6ED25-6DDF-4DD9-8429-D5530E0D1AA3}">
  <dimension ref="G4:L10"/>
  <sheetViews>
    <sheetView zoomScale="150" zoomScaleNormal="150" workbookViewId="0">
      <selection activeCell="M5" sqref="M5"/>
    </sheetView>
  </sheetViews>
  <sheetFormatPr defaultRowHeight="14.4"/>
  <cols>
    <col min="7" max="7" width="11" bestFit="1" customWidth="1"/>
    <col min="8" max="8" width="13" bestFit="1" customWidth="1"/>
    <col min="9" max="9" width="6.6640625" bestFit="1" customWidth="1"/>
    <col min="10" max="10" width="15.44140625" hidden="1" customWidth="1"/>
    <col min="11" max="11" width="15.21875" hidden="1" customWidth="1"/>
    <col min="12" max="12" width="13.44140625" customWidth="1"/>
  </cols>
  <sheetData>
    <row r="4" spans="7:12" ht="18">
      <c r="G4" s="5" t="s">
        <v>65</v>
      </c>
      <c r="H4" s="5" t="s">
        <v>75</v>
      </c>
      <c r="I4" s="5" t="s">
        <v>76</v>
      </c>
      <c r="J4" s="19" t="s">
        <v>80</v>
      </c>
    </row>
    <row r="5" spans="7:12">
      <c r="G5" s="24" t="s">
        <v>68</v>
      </c>
      <c r="H5" s="32">
        <v>1</v>
      </c>
      <c r="I5" s="32">
        <v>1</v>
      </c>
      <c r="J5" s="27" t="b">
        <f>AND(H5=1,I5=1)</f>
        <v>1</v>
      </c>
      <c r="K5" t="str">
        <f>IF(J5=TRUE,"selected","Not Selected")</f>
        <v>selected</v>
      </c>
      <c r="L5" t="str">
        <f>IF(AND(H5:I5),"Selected","Not Selected")</f>
        <v>Selected</v>
      </c>
    </row>
    <row r="6" spans="7:12">
      <c r="G6" s="24" t="s">
        <v>74</v>
      </c>
      <c r="H6" s="24">
        <v>0</v>
      </c>
      <c r="I6" s="24">
        <v>1</v>
      </c>
      <c r="J6" s="23" t="b">
        <f t="shared" ref="J6:J10" si="0">AND(H6=1,I6=1)</f>
        <v>0</v>
      </c>
      <c r="K6" t="str">
        <f t="shared" ref="K6:K10" si="1">IF(J6=TRUE,"selected","Not Selected")</f>
        <v>Not Selected</v>
      </c>
      <c r="L6" t="str">
        <f t="shared" ref="L6:L10" si="2">IF(AND(H6:I6),"Selected","Not Selected")</f>
        <v>Not Selected</v>
      </c>
    </row>
    <row r="7" spans="7:12">
      <c r="G7" s="24" t="s">
        <v>70</v>
      </c>
      <c r="H7" s="24">
        <v>1</v>
      </c>
      <c r="I7" s="24">
        <v>0</v>
      </c>
      <c r="J7" s="23" t="b">
        <f t="shared" si="0"/>
        <v>0</v>
      </c>
      <c r="K7" t="str">
        <f t="shared" si="1"/>
        <v>Not Selected</v>
      </c>
      <c r="L7" t="str">
        <f t="shared" si="2"/>
        <v>Not Selected</v>
      </c>
    </row>
    <row r="8" spans="7:12">
      <c r="G8" s="24" t="s">
        <v>71</v>
      </c>
      <c r="H8" s="32">
        <v>1</v>
      </c>
      <c r="I8" s="32">
        <v>1</v>
      </c>
      <c r="J8" s="27" t="b">
        <f t="shared" si="0"/>
        <v>1</v>
      </c>
      <c r="K8" t="str">
        <f t="shared" si="1"/>
        <v>selected</v>
      </c>
      <c r="L8" t="str">
        <f t="shared" si="2"/>
        <v>Selected</v>
      </c>
    </row>
    <row r="9" spans="7:12">
      <c r="G9" s="24" t="s">
        <v>72</v>
      </c>
      <c r="H9" s="24">
        <v>0</v>
      </c>
      <c r="I9" s="24">
        <v>1</v>
      </c>
      <c r="J9" s="23" t="b">
        <f t="shared" si="0"/>
        <v>0</v>
      </c>
      <c r="K9" t="str">
        <f t="shared" si="1"/>
        <v>Not Selected</v>
      </c>
      <c r="L9" t="str">
        <f t="shared" si="2"/>
        <v>Not Selected</v>
      </c>
    </row>
    <row r="10" spans="7:12">
      <c r="G10" s="24" t="s">
        <v>73</v>
      </c>
      <c r="H10" s="24">
        <v>0</v>
      </c>
      <c r="I10" s="24">
        <v>0</v>
      </c>
      <c r="J10" s="23" t="b">
        <f t="shared" si="0"/>
        <v>0</v>
      </c>
      <c r="K10" t="str">
        <f t="shared" si="1"/>
        <v>Not Selected</v>
      </c>
      <c r="L10" t="str">
        <f t="shared" si="2"/>
        <v>Not Selected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C0198-CBCF-484B-BC49-5F4846B47076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BC000-0D56-47B9-9024-028411E97DEA}">
  <dimension ref="A1:D7"/>
  <sheetViews>
    <sheetView zoomScale="200" zoomScaleNormal="200" workbookViewId="0">
      <selection activeCell="E5" sqref="E5"/>
    </sheetView>
  </sheetViews>
  <sheetFormatPr defaultRowHeight="14.4"/>
  <cols>
    <col min="1" max="1" width="10.77734375" customWidth="1"/>
    <col min="2" max="2" width="12" customWidth="1"/>
    <col min="3" max="3" width="16.44140625" customWidth="1"/>
    <col min="4" max="4" width="11" customWidth="1"/>
  </cols>
  <sheetData>
    <row r="1" spans="1:4">
      <c r="A1" s="101" t="s">
        <v>2</v>
      </c>
      <c r="B1" s="101"/>
      <c r="C1" s="101"/>
    </row>
    <row r="2" spans="1:4">
      <c r="A2" s="31" t="s">
        <v>85</v>
      </c>
      <c r="B2" s="31" t="s">
        <v>86</v>
      </c>
      <c r="C2" s="31" t="s">
        <v>90</v>
      </c>
    </row>
    <row r="3" spans="1:4">
      <c r="A3" s="30" t="s">
        <v>87</v>
      </c>
      <c r="B3" s="30" t="s">
        <v>88</v>
      </c>
      <c r="C3" s="30" t="s">
        <v>89</v>
      </c>
    </row>
    <row r="4" spans="1:4">
      <c r="A4" s="29" t="b">
        <v>1</v>
      </c>
      <c r="B4" s="29" t="b">
        <v>1</v>
      </c>
      <c r="C4" s="29" t="b">
        <f>AND(A4:B4)</f>
        <v>1</v>
      </c>
      <c r="D4" t="str">
        <f ca="1">_xlfn.FORMULATEXT(C4)</f>
        <v>=AND(A4:B4)</v>
      </c>
    </row>
    <row r="5" spans="1:4">
      <c r="A5" s="8" t="b">
        <v>1</v>
      </c>
      <c r="B5" s="8" t="b">
        <v>0</v>
      </c>
      <c r="C5" s="8" t="b">
        <f>AND(A5:B5)</f>
        <v>0</v>
      </c>
      <c r="D5" t="str">
        <f t="shared" ref="D5:D7" ca="1" si="0">_xlfn.FORMULATEXT(C5)</f>
        <v>=AND(A5:B5)</v>
      </c>
    </row>
    <row r="6" spans="1:4">
      <c r="A6" s="8" t="b">
        <v>0</v>
      </c>
      <c r="B6" s="8" t="b">
        <v>1</v>
      </c>
      <c r="C6" s="8" t="b">
        <f t="shared" ref="C6:C7" si="1">AND(A6:B6)</f>
        <v>0</v>
      </c>
      <c r="D6" t="str">
        <f t="shared" ca="1" si="0"/>
        <v>=AND(A6:B6)</v>
      </c>
    </row>
    <row r="7" spans="1:4">
      <c r="A7" s="8" t="b">
        <v>0</v>
      </c>
      <c r="B7" s="8" t="b">
        <v>0</v>
      </c>
      <c r="C7" s="8" t="b">
        <f t="shared" si="1"/>
        <v>0</v>
      </c>
      <c r="D7" t="str">
        <f t="shared" ca="1" si="0"/>
        <v>=AND(A7:B7)</v>
      </c>
    </row>
  </sheetData>
  <mergeCells count="1">
    <mergeCell ref="A1:C1"/>
  </mergeCells>
  <phoneticPr fontId="9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611E6-11E3-4A77-99BA-50ECA9F8185E}">
  <dimension ref="E6:G12"/>
  <sheetViews>
    <sheetView topLeftCell="B4" zoomScale="180" zoomScaleNormal="180" workbookViewId="0">
      <selection activeCell="G12" sqref="G12"/>
    </sheetView>
  </sheetViews>
  <sheetFormatPr defaultRowHeight="14.4"/>
  <cols>
    <col min="5" max="5" width="24.77734375" customWidth="1"/>
    <col min="6" max="6" width="32.44140625" customWidth="1"/>
    <col min="7" max="7" width="47.44140625" bestFit="1" customWidth="1"/>
  </cols>
  <sheetData>
    <row r="6" spans="5:7" ht="15" thickBot="1"/>
    <row r="7" spans="5:7" ht="15" thickBot="1">
      <c r="E7" s="39" t="s">
        <v>83</v>
      </c>
      <c r="F7" s="20">
        <v>100</v>
      </c>
    </row>
    <row r="8" spans="5:7" ht="15" thickBot="1">
      <c r="E8" s="39" t="s">
        <v>84</v>
      </c>
      <c r="F8" s="20">
        <v>0</v>
      </c>
    </row>
    <row r="9" spans="5:7">
      <c r="F9" t="e">
        <f>F7/F8</f>
        <v>#DIV/0!</v>
      </c>
    </row>
    <row r="10" spans="5:7">
      <c r="F10" s="21" t="str">
        <f>IFERROR(F7/F8,"You cannot divide number by zero")</f>
        <v>You cannot divide number by zero</v>
      </c>
    </row>
    <row r="11" spans="5:7">
      <c r="F11" s="52" t="str">
        <f>IFERROR(F7/F8,"You Cannot Divide number by Zero")</f>
        <v>You Cannot Divide number by Zero</v>
      </c>
    </row>
    <row r="12" spans="5:7">
      <c r="F12" t="str">
        <f>IFERROR(F7/F8,"You Can No Divided Number By Zero")</f>
        <v>You Can No Divided Number By Zero</v>
      </c>
      <c r="G12" t="str">
        <f ca="1">_xlfn.FORMULATEXT(F12)</f>
        <v>=IFERROR(F7/F8,"You Can No Divided Number By Zero")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94380-9278-428F-9A2C-6A597CFB3F93}">
  <dimension ref="I3:M9"/>
  <sheetViews>
    <sheetView zoomScale="110" zoomScaleNormal="110" workbookViewId="0">
      <selection activeCell="M5" sqref="M5"/>
    </sheetView>
  </sheetViews>
  <sheetFormatPr defaultRowHeight="14.4"/>
  <cols>
    <col min="9" max="9" width="11" bestFit="1" customWidth="1"/>
    <col min="10" max="10" width="13.77734375" customWidth="1"/>
    <col min="11" max="11" width="20.109375" customWidth="1"/>
    <col min="12" max="12" width="21.109375" customWidth="1"/>
    <col min="13" max="13" width="13.33203125" customWidth="1"/>
  </cols>
  <sheetData>
    <row r="3" spans="9:13" ht="18">
      <c r="I3" s="5" t="s">
        <v>65</v>
      </c>
      <c r="J3" s="5" t="s">
        <v>66</v>
      </c>
      <c r="K3" s="5" t="s">
        <v>67</v>
      </c>
      <c r="L3" s="5" t="s">
        <v>81</v>
      </c>
    </row>
    <row r="4" spans="9:13">
      <c r="I4" s="22" t="s">
        <v>68</v>
      </c>
      <c r="J4" s="22">
        <v>1</v>
      </c>
      <c r="K4" s="22">
        <v>179</v>
      </c>
      <c r="L4" s="55" t="str">
        <f>IF(OR(J4&gt;=5,K4&gt;=100),"Discount","No Discount")</f>
        <v>Discount</v>
      </c>
      <c r="M4" s="23" t="b">
        <f>NOT(L4="Discount")</f>
        <v>0</v>
      </c>
    </row>
    <row r="5" spans="9:13">
      <c r="I5" s="22" t="s">
        <v>74</v>
      </c>
      <c r="J5" s="54">
        <v>1</v>
      </c>
      <c r="K5" s="54">
        <v>81</v>
      </c>
      <c r="L5" s="56" t="str">
        <f t="shared" ref="L5:L9" si="0">IF(OR(J5&gt;=5,K5&gt;=100),"Discount","No Discount")</f>
        <v>No Discount</v>
      </c>
      <c r="M5" s="23" t="b">
        <f t="shared" ref="M5:M9" si="1">NOT(L5="Discount")</f>
        <v>1</v>
      </c>
    </row>
    <row r="6" spans="9:13">
      <c r="I6" s="22" t="s">
        <v>70</v>
      </c>
      <c r="J6" s="22">
        <v>2</v>
      </c>
      <c r="K6" s="22">
        <v>181</v>
      </c>
      <c r="L6" s="55" t="str">
        <f t="shared" si="0"/>
        <v>Discount</v>
      </c>
      <c r="M6" s="23" t="b">
        <f t="shared" si="1"/>
        <v>0</v>
      </c>
    </row>
    <row r="7" spans="9:13">
      <c r="I7" s="22" t="s">
        <v>71</v>
      </c>
      <c r="J7" s="22">
        <v>5</v>
      </c>
      <c r="K7" s="22">
        <v>55</v>
      </c>
      <c r="L7" s="55" t="str">
        <f t="shared" si="0"/>
        <v>Discount</v>
      </c>
      <c r="M7" s="23" t="b">
        <f t="shared" si="1"/>
        <v>0</v>
      </c>
    </row>
    <row r="8" spans="9:13">
      <c r="I8" s="22" t="s">
        <v>72</v>
      </c>
      <c r="J8" s="22">
        <v>4</v>
      </c>
      <c r="K8" s="22">
        <v>188</v>
      </c>
      <c r="L8" s="55" t="str">
        <f t="shared" si="0"/>
        <v>Discount</v>
      </c>
      <c r="M8" s="23" t="b">
        <f t="shared" si="1"/>
        <v>0</v>
      </c>
    </row>
    <row r="9" spans="9:13">
      <c r="I9" s="22" t="s">
        <v>73</v>
      </c>
      <c r="J9" s="54">
        <v>3</v>
      </c>
      <c r="K9" s="54">
        <v>65</v>
      </c>
      <c r="L9" s="56" t="str">
        <f t="shared" si="0"/>
        <v>No Discount</v>
      </c>
      <c r="M9" s="23" t="b">
        <f t="shared" si="1"/>
        <v>1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F79F7-FE05-4CF6-A1C1-30DCEC86F6E5}">
  <dimension ref="A1:C5"/>
  <sheetViews>
    <sheetView tabSelected="1" zoomScale="198" zoomScaleNormal="198" workbookViewId="0">
      <selection activeCell="G11" sqref="G11"/>
    </sheetView>
  </sheetViews>
  <sheetFormatPr defaultRowHeight="14.4"/>
  <cols>
    <col min="1" max="1" width="12.109375" customWidth="1"/>
    <col min="2" max="2" width="9.88671875" customWidth="1"/>
  </cols>
  <sheetData>
    <row r="1" spans="1:3">
      <c r="A1" s="35" t="s">
        <v>91</v>
      </c>
      <c r="B1" s="35" t="s">
        <v>92</v>
      </c>
      <c r="C1" s="35" t="s">
        <v>93</v>
      </c>
    </row>
    <row r="2" spans="1:3">
      <c r="A2" s="34" t="b">
        <v>1</v>
      </c>
      <c r="B2" s="34" t="b">
        <v>1</v>
      </c>
      <c r="C2" s="34" t="b">
        <f>OR(A2:B2)</f>
        <v>1</v>
      </c>
    </row>
    <row r="3" spans="1:3">
      <c r="A3" s="34" t="b">
        <v>1</v>
      </c>
      <c r="B3" s="34" t="b">
        <v>0</v>
      </c>
      <c r="C3" s="34" t="b">
        <f t="shared" ref="C3:C5" si="0">OR(A3:B3)</f>
        <v>1</v>
      </c>
    </row>
    <row r="4" spans="1:3">
      <c r="A4" s="34" t="b">
        <v>0</v>
      </c>
      <c r="B4" s="34" t="b">
        <v>1</v>
      </c>
      <c r="C4" s="34" t="b">
        <f t="shared" si="0"/>
        <v>1</v>
      </c>
    </row>
    <row r="5" spans="1:3">
      <c r="A5" s="33" t="b">
        <v>0</v>
      </c>
      <c r="B5" s="33" t="b">
        <v>0</v>
      </c>
      <c r="C5" s="53" t="b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Topics</vt:lpstr>
      <vt:lpstr> Sales Performance Analysis</vt:lpstr>
      <vt:lpstr>SPA_SOlution</vt:lpstr>
      <vt:lpstr>MisisngData</vt:lpstr>
      <vt:lpstr>Sheet3</vt:lpstr>
      <vt:lpstr>IF</vt:lpstr>
      <vt:lpstr>And</vt:lpstr>
      <vt:lpstr>Sheet2</vt:lpstr>
      <vt:lpstr>Sheet1</vt:lpstr>
      <vt:lpstr>IfError</vt:lpstr>
      <vt:lpstr>OR</vt:lpstr>
      <vt:lpstr>OR1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ExcelR Mumbai</dc:creator>
  <cp:lastModifiedBy>akhilesh nishad</cp:lastModifiedBy>
  <dcterms:created xsi:type="dcterms:W3CDTF">2024-07-22T07:42:11Z</dcterms:created>
  <dcterms:modified xsi:type="dcterms:W3CDTF">2025-05-08T03:01:36Z</dcterms:modified>
</cp:coreProperties>
</file>