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OneDrive\Desktop\ExcelerAllTopic\Excel\Excel All file\"/>
    </mc:Choice>
  </mc:AlternateContent>
  <xr:revisionPtr revIDLastSave="0" documentId="13_ncr:1_{C5780DA7-A15A-4F89-8763-E0A3EB0ADDC0}" xr6:coauthVersionLast="47" xr6:coauthVersionMax="47" xr10:uidLastSave="{00000000-0000-0000-0000-000000000000}"/>
  <bookViews>
    <workbookView xWindow="-108" yWindow="-108" windowWidth="23256" windowHeight="13176" xr2:uid="{0912C427-BAF5-47A2-A5F3-28E1B7FB7B90}"/>
  </bookViews>
  <sheets>
    <sheet name="Topics" sheetId="8" r:id="rId1"/>
    <sheet name="Vlookup" sheetId="1" r:id="rId2"/>
    <sheet name="Hlookup" sheetId="6" r:id="rId3"/>
    <sheet name="Index" sheetId="3" r:id="rId4"/>
    <sheet name="Match" sheetId="4" r:id="rId5"/>
    <sheet name="Index and match" sheetId="5" r:id="rId6"/>
    <sheet name="Indirect" sheetId="7" r:id="rId7"/>
    <sheet name="Sheet1" sheetId="9" r:id="rId8"/>
    <sheet name="Sheet2" sheetId="10" r:id="rId9"/>
    <sheet name="Sheet4" sheetId="12" r:id="rId10"/>
    <sheet name="Vlookup practice" sheetId="11" r:id="rId11"/>
    <sheet name="Sheet5" sheetId="13" r:id="rId12"/>
    <sheet name="Index And Match practice" sheetId="14" r:id="rId13"/>
  </sheets>
  <definedNames>
    <definedName name="Abhilasha">Sheet2!$L$4:$L$6</definedName>
    <definedName name="Akhil">Sheet2!$N$4:$N$6</definedName>
    <definedName name="Atharav">Sheet1!$B$2:$B$3</definedName>
    <definedName name="Jaffar">Sheet2!$M$4:$M$6</definedName>
    <definedName name="Mohan">Sheet1!$C$2:$C$3</definedName>
    <definedName name="Pooja">Sheet2!$K$4:$K$6</definedName>
    <definedName name="Price">Indirect!$C$2:$C$10</definedName>
    <definedName name="StockQuantity">Indirect!$D$2:$D$10</definedName>
    <definedName name="Subject" localSheetId="8">Sheet2!$J$4:$J$6</definedName>
    <definedName name="Subject">Sheet1!$A$2:$A$3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0" l="1"/>
  <c r="E5" i="9"/>
  <c r="G5" i="9"/>
  <c r="J13" i="12"/>
  <c r="I13" i="12"/>
  <c r="G25" i="5"/>
  <c r="G24" i="5"/>
  <c r="G23" i="5"/>
  <c r="G22" i="5"/>
  <c r="G21" i="5"/>
  <c r="G20" i="5"/>
  <c r="F20" i="5"/>
  <c r="H2" i="5"/>
  <c r="F19" i="5" a="1"/>
  <c r="F19" i="5" s="1"/>
  <c r="E19" i="5"/>
  <c r="G20" i="4"/>
  <c r="G19" i="4"/>
  <c r="G18" i="4"/>
  <c r="J19" i="3" a="1"/>
  <c r="J19" i="3" s="1"/>
  <c r="I12" i="6"/>
  <c r="E9" i="6"/>
  <c r="I9" i="6"/>
  <c r="B26" i="1"/>
  <c r="B23" i="1"/>
  <c r="B19" i="1"/>
  <c r="H20" i="12"/>
  <c r="B16" i="1"/>
  <c r="B13" i="1"/>
  <c r="J11" i="14" a="1"/>
  <c r="J11" i="14" s="1"/>
  <c r="J10" i="14" a="1"/>
  <c r="J10" i="14" s="1"/>
  <c r="J6" i="14"/>
  <c r="I6" i="14"/>
  <c r="H6" i="14"/>
  <c r="F13" i="13"/>
  <c r="E13" i="13"/>
  <c r="E10" i="6"/>
  <c r="G20" i="12"/>
  <c r="H16" i="12"/>
  <c r="I16" i="12" s="1"/>
  <c r="J16" i="12" s="1"/>
  <c r="C2" i="11"/>
  <c r="B2" i="11"/>
  <c r="B15" i="10"/>
  <c r="H3" i="5"/>
  <c r="I4" i="4"/>
  <c r="L11" i="4"/>
  <c r="L10" i="4"/>
  <c r="L15" i="3"/>
  <c r="L12" i="3"/>
  <c r="L11" i="3"/>
  <c r="F12" i="6"/>
  <c r="F11" i="6"/>
  <c r="F10" i="6"/>
  <c r="J8" i="1"/>
  <c r="J6" i="1"/>
  <c r="J5" i="1"/>
  <c r="J4" i="1"/>
  <c r="G15" i="5"/>
  <c r="G14" i="5"/>
  <c r="G13" i="5"/>
  <c r="G12" i="5"/>
  <c r="G11" i="5"/>
  <c r="L14" i="4"/>
  <c r="L13" i="4"/>
  <c r="L12" i="4"/>
  <c r="I5" i="4"/>
  <c r="I6" i="4"/>
  <c r="H4" i="4"/>
  <c r="L14" i="3"/>
  <c r="L13" i="3"/>
  <c r="I4" i="3" a="1"/>
  <c r="I4" i="3"/>
  <c r="I5" i="3" a="1"/>
  <c r="I5" i="3" s="1"/>
  <c r="I6" i="3" a="1"/>
  <c r="I6" i="3"/>
  <c r="I7" i="3" a="1"/>
  <c r="I7" i="3"/>
  <c r="I3" i="3" a="1"/>
  <c r="I3" i="3" s="1"/>
  <c r="F13" i="6"/>
  <c r="F9" i="6"/>
  <c r="J7" i="1"/>
  <c r="K12" i="10"/>
  <c r="E7" i="9" a="1"/>
  <c r="K11" i="10"/>
  <c r="K14" i="10"/>
  <c r="K13" i="10"/>
  <c r="B6" i="9"/>
  <c r="E7" i="9" l="1"/>
  <c r="M10" i="4"/>
  <c r="K13" i="3"/>
  <c r="K12" i="3"/>
  <c r="K11" i="3"/>
  <c r="I4" i="1"/>
  <c r="H6" i="5"/>
  <c r="H5" i="5"/>
  <c r="H4" i="5"/>
  <c r="H6" i="4"/>
  <c r="H5" i="4"/>
  <c r="J3" i="7"/>
  <c r="I3" i="7"/>
  <c r="I4" i="7"/>
  <c r="F12" i="7" a="1"/>
  <c r="F1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<sst xmlns="http://schemas.openxmlformats.org/spreadsheetml/2006/main" count="269" uniqueCount="85">
  <si>
    <t>Widget A</t>
  </si>
  <si>
    <t>Gadget B</t>
  </si>
  <si>
    <t>Device C</t>
  </si>
  <si>
    <t>Appliance D</t>
  </si>
  <si>
    <t>Tool E</t>
  </si>
  <si>
    <t>Instrument F</t>
  </si>
  <si>
    <t>Equipment G</t>
  </si>
  <si>
    <t>Machine H</t>
  </si>
  <si>
    <t>Implement I</t>
  </si>
  <si>
    <t>ProductID</t>
  </si>
  <si>
    <t>ProductName</t>
  </si>
  <si>
    <t>Price</t>
  </si>
  <si>
    <t>StockQuantity</t>
  </si>
  <si>
    <t>Row</t>
  </si>
  <si>
    <t>Col</t>
  </si>
  <si>
    <t>Value</t>
  </si>
  <si>
    <t>Find the Product Name for Product ID 4</t>
  </si>
  <si>
    <t>Find the Price of the product named 'Tool E':</t>
  </si>
  <si>
    <t>Find the Stock Quantity for the product with the highest price:</t>
  </si>
  <si>
    <t>Find the Product ID for the product with a Price of 24.99:</t>
  </si>
  <si>
    <t>Find the Price of the product with the lowest Stock Quantity:</t>
  </si>
  <si>
    <t>Questions</t>
  </si>
  <si>
    <t>1. Find the Price of 'Device C'.</t>
  </si>
  <si>
    <t>2. Find the Stock Quantity of 'Gadget B'.</t>
  </si>
  <si>
    <t>3. Find the Product ID of 'Appliance D'.</t>
  </si>
  <si>
    <t>4. Find the Product Name of the product with a Price of 9.99.</t>
  </si>
  <si>
    <t>5. Find the Stock Quantity of the product named 'Instrument F'.</t>
  </si>
  <si>
    <t>1. Find the Product Name for Product ID 6.</t>
  </si>
  <si>
    <t>2. Find the Price of the product in the 7th column.</t>
  </si>
  <si>
    <t>3. Find the Stock Quantity for the product with the name 'Machine H'.</t>
  </si>
  <si>
    <t>4. Find the Product ID for the product with the price of 99.99.</t>
  </si>
  <si>
    <t>5. Find the Price of the product in the 4th column.</t>
  </si>
  <si>
    <t>NDEX Function Questions</t>
  </si>
  <si>
    <t>1. Find the 3rd Product Name.</t>
  </si>
  <si>
    <t>2. Find the 5th Price in the list.</t>
  </si>
  <si>
    <t>3. Find the Stock Quantity of the 7th product.</t>
  </si>
  <si>
    <t>4. Find the ProductID of the 8th product in the list.</t>
  </si>
  <si>
    <t>5. Find the 2nd Product Name.</t>
  </si>
  <si>
    <t>MATCH Function Questions</t>
  </si>
  <si>
    <t>1. Find the row number of the product named 'Appliance D'.</t>
  </si>
  <si>
    <t>2. Find the row number of the product with the price 24.99.</t>
  </si>
  <si>
    <t>3. Find the row number of the product with the Stock Quantity 50.</t>
  </si>
  <si>
    <t>4. Find the row number of the ProductID 6.</t>
  </si>
  <si>
    <t>5. Find the row number of the product named 'Widget A'.</t>
  </si>
  <si>
    <t>Sum</t>
  </si>
  <si>
    <t>Average</t>
  </si>
  <si>
    <t>Lookup Function</t>
  </si>
  <si>
    <t>Vlookup</t>
  </si>
  <si>
    <t>Hlookup</t>
  </si>
  <si>
    <t>Xlookup</t>
  </si>
  <si>
    <t>Index</t>
  </si>
  <si>
    <t>Match</t>
  </si>
  <si>
    <t>Index and match</t>
  </si>
  <si>
    <t>Indirect</t>
  </si>
  <si>
    <t>Hello world</t>
  </si>
  <si>
    <t>G9</t>
  </si>
  <si>
    <t>Subject</t>
  </si>
  <si>
    <t>Excel</t>
  </si>
  <si>
    <t>PBI</t>
  </si>
  <si>
    <t>Atharav</t>
  </si>
  <si>
    <t>Mohan</t>
  </si>
  <si>
    <t>Name</t>
  </si>
  <si>
    <t>Column1</t>
  </si>
  <si>
    <t>left - right</t>
  </si>
  <si>
    <t>Column</t>
  </si>
  <si>
    <t>Volve</t>
  </si>
  <si>
    <t>Question-1</t>
  </si>
  <si>
    <t>Question-2</t>
  </si>
  <si>
    <t>Question-3</t>
  </si>
  <si>
    <t>Question-4</t>
  </si>
  <si>
    <t>Question First</t>
  </si>
  <si>
    <t xml:space="preserve">Row </t>
  </si>
  <si>
    <t>Value of Index</t>
  </si>
  <si>
    <t>john.doe@example.com</t>
  </si>
  <si>
    <t>HELLO WORLD</t>
  </si>
  <si>
    <t>g3</t>
  </si>
  <si>
    <t>Pooja</t>
  </si>
  <si>
    <t>Abhilasha</t>
  </si>
  <si>
    <t>Jaffar</t>
  </si>
  <si>
    <t>Akhil</t>
  </si>
  <si>
    <t>Tableu</t>
  </si>
  <si>
    <t>Total Marks</t>
  </si>
  <si>
    <t>Ave Marks</t>
  </si>
  <si>
    <t>Min Marks</t>
  </si>
  <si>
    <t>Max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</si>
</sst>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4" borderId="0" xfId="0" applyFill="1"/>
    <xf numFmtId="0" fontId="0" fillId="5" borderId="0" xfId="0" applyFill="1"/>
    <xf numFmtId="0" fontId="0" fillId="0" borderId="7" xfId="0" applyBorder="1"/>
    <xf numFmtId="0" fontId="0" fillId="0" borderId="8" xfId="0" applyBorder="1" applyAlignment="1">
      <alignment vertical="center" wrapText="1"/>
    </xf>
    <xf numFmtId="0" fontId="1" fillId="6" borderId="9" xfId="0" applyFont="1" applyFill="1" applyBorder="1"/>
    <xf numFmtId="0" fontId="1" fillId="6" borderId="10" xfId="0" applyFont="1" applyFill="1" applyBorder="1"/>
    <xf numFmtId="0" fontId="1" fillId="6" borderId="1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4" fillId="7" borderId="0" xfId="0" applyFont="1" applyFill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0D60D2-E042-4607-97F2-902DDBDF81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CC294C-F244-4A6E-80C7-CBDE1984F666}" name="Table1" displayName="Table1" ref="A1:C10" totalsRowShown="0">
  <tableColumns count="3">
    <tableColumn id="1" xr3:uid="{A1DA8918-7538-4B24-932D-8BC51A6C861C}" name="Column1"/>
    <tableColumn id="2" xr3:uid="{225E9218-7837-4474-B562-8826B42307AB}" name="Price"/>
    <tableColumn id="3" xr3:uid="{0136102F-E817-4078-887F-1EF04A07A90C}" name="Stock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0F3558-D63A-4ECA-B9C0-8D857B7BD4E2}" name="Table2" displayName="Table2" ref="A14:C15" totalsRowShown="0">
  <tableColumns count="3">
    <tableColumn id="1" xr3:uid="{20E180E7-891C-47BA-9401-EE0E94725686}" name="ProductName"/>
    <tableColumn id="2" xr3:uid="{3B81389F-291D-4637-9602-447E93D126FD}" name="Price">
      <calculatedColumnFormula>VLOOKUP(A15,Table1[],2,FALSE)</calculatedColumnFormula>
    </tableColumn>
    <tableColumn id="3" xr3:uid="{322113FE-E0D1-4036-9D6F-9B59574EC653}" name="StockQuantity">
      <calculatedColumnFormula>VLOOKUP(Table2[[#This Row],[ProductName]],Table1[],3,FALSE)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87E9-ADB4-4B00-BC29-B7C091C27A55}">
  <dimension ref="A1:A8"/>
  <sheetViews>
    <sheetView tabSelected="1" zoomScale="260" zoomScaleNormal="260" workbookViewId="0">
      <selection activeCell="A6" sqref="A6"/>
    </sheetView>
  </sheetViews>
  <sheetFormatPr defaultRowHeight="14.4" x14ac:dyDescent="0.3"/>
  <cols>
    <col min="1" max="1" width="20.5546875" customWidth="1"/>
  </cols>
  <sheetData>
    <row r="1" spans="1:1" x14ac:dyDescent="0.3">
      <c r="A1" s="3" t="s">
        <v>46</v>
      </c>
    </row>
    <row r="2" spans="1:1" x14ac:dyDescent="0.3">
      <c r="A2" t="s">
        <v>47</v>
      </c>
    </row>
    <row r="3" spans="1:1" x14ac:dyDescent="0.3">
      <c r="A3" t="s">
        <v>48</v>
      </c>
    </row>
    <row r="4" spans="1:1" x14ac:dyDescent="0.3">
      <c r="A4" t="s">
        <v>49</v>
      </c>
    </row>
    <row r="5" spans="1:1" x14ac:dyDescent="0.3">
      <c r="A5" t="s">
        <v>50</v>
      </c>
    </row>
    <row r="6" spans="1:1" x14ac:dyDescent="0.3">
      <c r="A6" t="s">
        <v>51</v>
      </c>
    </row>
    <row r="7" spans="1:1" x14ac:dyDescent="0.3">
      <c r="A7" t="s">
        <v>52</v>
      </c>
    </row>
    <row r="8" spans="1:1" x14ac:dyDescent="0.3">
      <c r="A8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4F01-260B-4AE8-A13C-E10A4712F846}">
  <dimension ref="A1:J26"/>
  <sheetViews>
    <sheetView zoomScale="140" zoomScaleNormal="140" workbookViewId="0">
      <pane xSplit="4" ySplit="10" topLeftCell="K26" activePane="bottomRight" state="frozen"/>
      <selection pane="topRight" activeCell="E1" sqref="E1"/>
      <selection pane="bottomLeft" activeCell="A11" sqref="A11"/>
      <selection pane="bottomRight" activeCell="D10" sqref="D10"/>
    </sheetView>
  </sheetViews>
  <sheetFormatPr defaultRowHeight="14.4" x14ac:dyDescent="0.3"/>
  <cols>
    <col min="1" max="1" width="18" customWidth="1"/>
    <col min="2" max="2" width="21.21875" bestFit="1" customWidth="1"/>
    <col min="3" max="3" width="22.21875" customWidth="1"/>
    <col min="4" max="4" width="15.109375" customWidth="1"/>
    <col min="5" max="5" width="10.6640625" customWidth="1"/>
    <col min="6" max="6" width="3.6640625" customWidth="1"/>
    <col min="7" max="7" width="2.5546875" customWidth="1"/>
    <col min="8" max="8" width="57.109375" customWidth="1"/>
  </cols>
  <sheetData>
    <row r="1" spans="1:10" x14ac:dyDescent="0.3">
      <c r="A1" s="7" t="s">
        <v>9</v>
      </c>
      <c r="B1" s="8" t="s">
        <v>10</v>
      </c>
      <c r="C1" s="8" t="s">
        <v>11</v>
      </c>
      <c r="D1" s="9" t="s">
        <v>12</v>
      </c>
    </row>
    <row r="2" spans="1:10" ht="18" x14ac:dyDescent="0.3">
      <c r="A2" s="10">
        <v>1</v>
      </c>
      <c r="B2" s="11" t="s">
        <v>0</v>
      </c>
      <c r="C2" s="11">
        <v>19.989999999999998</v>
      </c>
      <c r="D2" s="12">
        <v>150</v>
      </c>
      <c r="H2" s="4" t="s">
        <v>21</v>
      </c>
    </row>
    <row r="3" spans="1:10" x14ac:dyDescent="0.3">
      <c r="A3" s="13">
        <v>2</v>
      </c>
      <c r="B3" s="14" t="s">
        <v>1</v>
      </c>
      <c r="C3" s="14">
        <v>29.99</v>
      </c>
      <c r="D3" s="15">
        <v>200</v>
      </c>
      <c r="H3" s="5"/>
    </row>
    <row r="4" spans="1:10" x14ac:dyDescent="0.3">
      <c r="A4" s="10">
        <v>3</v>
      </c>
      <c r="B4" s="11" t="s">
        <v>2</v>
      </c>
      <c r="C4" s="11">
        <v>49.99</v>
      </c>
      <c r="D4" s="12">
        <v>100</v>
      </c>
      <c r="H4" s="6" t="s">
        <v>22</v>
      </c>
      <c r="I4">
        <f>VLOOKUP(B4,B1:D10,2,0)</f>
        <v>49.99</v>
      </c>
      <c r="J4">
        <f>VLOOKUP(B4,B1:D10,2,0)</f>
        <v>49.99</v>
      </c>
    </row>
    <row r="5" spans="1:10" x14ac:dyDescent="0.3">
      <c r="A5" s="13">
        <v>4</v>
      </c>
      <c r="B5" s="14" t="s">
        <v>3</v>
      </c>
      <c r="C5" s="14">
        <v>99.99</v>
      </c>
      <c r="D5" s="15">
        <v>75</v>
      </c>
      <c r="H5" s="6" t="s">
        <v>23</v>
      </c>
      <c r="J5">
        <f>VLOOKUP(B3,B1:D10,3,0)</f>
        <v>200</v>
      </c>
    </row>
    <row r="6" spans="1:10" x14ac:dyDescent="0.3">
      <c r="A6" s="10">
        <v>5</v>
      </c>
      <c r="B6" s="11" t="s">
        <v>4</v>
      </c>
      <c r="C6" s="11">
        <v>9.99</v>
      </c>
      <c r="D6" s="12">
        <v>300</v>
      </c>
      <c r="H6" s="6" t="s">
        <v>24</v>
      </c>
      <c r="J6">
        <f>_xlfn.XLOOKUP(B5,B1:B10,A1:A10,0)</f>
        <v>4</v>
      </c>
    </row>
    <row r="7" spans="1:10" x14ac:dyDescent="0.3">
      <c r="A7" s="13">
        <v>6</v>
      </c>
      <c r="B7" s="14" t="s">
        <v>5</v>
      </c>
      <c r="C7" s="14">
        <v>59.99</v>
      </c>
      <c r="D7" s="15">
        <v>50</v>
      </c>
      <c r="H7" s="6" t="s">
        <v>25</v>
      </c>
      <c r="J7" t="str">
        <f>_xlfn.XLOOKUP(C6,C1:C10,B1:B10,0)</f>
        <v>Tool E</v>
      </c>
    </row>
    <row r="8" spans="1:10" x14ac:dyDescent="0.3">
      <c r="A8" s="10">
        <v>7</v>
      </c>
      <c r="B8" s="11" t="s">
        <v>6</v>
      </c>
      <c r="C8" s="11">
        <v>39.99</v>
      </c>
      <c r="D8" s="12">
        <v>120</v>
      </c>
      <c r="H8" s="6" t="s">
        <v>26</v>
      </c>
      <c r="J8">
        <f>VLOOKUP(B7,B2:D10,3,0)</f>
        <v>50</v>
      </c>
    </row>
    <row r="9" spans="1:10" x14ac:dyDescent="0.3">
      <c r="A9" s="13">
        <v>8</v>
      </c>
      <c r="B9" s="14" t="s">
        <v>7</v>
      </c>
      <c r="C9" s="14">
        <v>199.99</v>
      </c>
      <c r="D9" s="15">
        <v>25</v>
      </c>
    </row>
    <row r="10" spans="1:10" x14ac:dyDescent="0.3">
      <c r="A10" s="16">
        <v>9</v>
      </c>
      <c r="B10" s="17" t="s">
        <v>8</v>
      </c>
      <c r="C10" s="17">
        <v>24.99</v>
      </c>
      <c r="D10" s="18">
        <v>220</v>
      </c>
    </row>
    <row r="11" spans="1:10" x14ac:dyDescent="0.3">
      <c r="A11" s="27" t="s">
        <v>66</v>
      </c>
    </row>
    <row r="12" spans="1:10" x14ac:dyDescent="0.3">
      <c r="A12" s="8" t="s">
        <v>10</v>
      </c>
      <c r="B12" s="8" t="s">
        <v>11</v>
      </c>
    </row>
    <row r="13" spans="1:10" x14ac:dyDescent="0.3">
      <c r="A13" t="s">
        <v>2</v>
      </c>
      <c r="B13">
        <f>IFERROR(VLOOKUP(A13,B2:D10,2,FALSE),"Enter the productName")</f>
        <v>49.99</v>
      </c>
    </row>
    <row r="14" spans="1:10" x14ac:dyDescent="0.3">
      <c r="A14" s="27" t="s">
        <v>67</v>
      </c>
    </row>
    <row r="15" spans="1:10" x14ac:dyDescent="0.3">
      <c r="A15" s="8" t="s">
        <v>10</v>
      </c>
      <c r="B15" s="9" t="s">
        <v>12</v>
      </c>
    </row>
    <row r="16" spans="1:10" x14ac:dyDescent="0.3">
      <c r="A16" t="s">
        <v>1</v>
      </c>
      <c r="B16">
        <f>IFERROR(VLOOKUP(A16,B2:D10,3,FALSE),"Enter the productName")</f>
        <v>200</v>
      </c>
    </row>
    <row r="17" spans="1:2" x14ac:dyDescent="0.3">
      <c r="A17" s="27" t="s">
        <v>68</v>
      </c>
    </row>
    <row r="18" spans="1:2" x14ac:dyDescent="0.3">
      <c r="A18" s="8" t="s">
        <v>10</v>
      </c>
      <c r="B18" s="7" t="s">
        <v>9</v>
      </c>
    </row>
    <row r="19" spans="1:2" x14ac:dyDescent="0.3">
      <c r="A19" t="s">
        <v>3</v>
      </c>
      <c r="B19">
        <f>_xlfn.XLOOKUP(A19,B2:B10,A2:A10,"Value Not Found",FALSE)</f>
        <v>4</v>
      </c>
    </row>
    <row r="21" spans="1:2" x14ac:dyDescent="0.3">
      <c r="A21" s="27" t="s">
        <v>69</v>
      </c>
    </row>
    <row r="22" spans="1:2" x14ac:dyDescent="0.3">
      <c r="A22" s="8" t="s">
        <v>11</v>
      </c>
      <c r="B22" s="7" t="s">
        <v>9</v>
      </c>
    </row>
    <row r="23" spans="1:2" x14ac:dyDescent="0.3">
      <c r="A23">
        <v>9.99</v>
      </c>
      <c r="B23" t="str">
        <f>_xlfn.XLOOKUP(A23,C2:C10,B2:B10,"Value not found",FALSE)</f>
        <v>Tool E</v>
      </c>
    </row>
    <row r="24" spans="1:2" x14ac:dyDescent="0.3">
      <c r="A24" s="27" t="s">
        <v>69</v>
      </c>
    </row>
    <row r="25" spans="1:2" x14ac:dyDescent="0.3">
      <c r="A25" s="7" t="s">
        <v>9</v>
      </c>
      <c r="B25" s="9" t="s">
        <v>12</v>
      </c>
    </row>
    <row r="26" spans="1:2" x14ac:dyDescent="0.3">
      <c r="A26" t="s">
        <v>5</v>
      </c>
      <c r="B26">
        <f>_xlfn.XLOOKUP(A26,B2:B10,D2:D10,"Value not found",FALSE)</f>
        <v>50</v>
      </c>
    </row>
  </sheetData>
  <dataValidations count="1">
    <dataValidation type="list" allowBlank="1" showInputMessage="1" showErrorMessage="1" sqref="A13 A16 A19" xr:uid="{D1F501E2-F490-4DE8-832E-48326CFCFA52}">
      <formula1>$B$2:$B$10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EAC3-A3F5-48D7-AE4C-5DF646935255}">
  <dimension ref="A1:J13"/>
  <sheetViews>
    <sheetView workbookViewId="0">
      <selection activeCell="J8" sqref="J8"/>
    </sheetView>
  </sheetViews>
  <sheetFormatPr defaultRowHeight="14.4" x14ac:dyDescent="0.3"/>
  <cols>
    <col min="1" max="1" width="18.21875" customWidth="1"/>
    <col min="2" max="2" width="15.33203125" customWidth="1"/>
    <col min="3" max="3" width="16.44140625" customWidth="1"/>
    <col min="4" max="4" width="19.33203125" customWidth="1"/>
    <col min="5" max="5" width="20.21875" customWidth="1"/>
    <col min="6" max="6" width="16.6640625" customWidth="1"/>
    <col min="7" max="7" width="18.21875" customWidth="1"/>
    <col min="8" max="8" width="15.6640625" customWidth="1"/>
    <col min="9" max="9" width="14.6640625" customWidth="1"/>
    <col min="10" max="10" width="17.5546875" customWidth="1"/>
  </cols>
  <sheetData>
    <row r="1" spans="1:10" x14ac:dyDescent="0.3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</row>
    <row r="2" spans="1:10" x14ac:dyDescent="0.3">
      <c r="A2" s="8" t="s">
        <v>9</v>
      </c>
      <c r="B2" s="10">
        <v>1</v>
      </c>
      <c r="C2" s="11">
        <v>2</v>
      </c>
      <c r="D2" s="11">
        <v>3</v>
      </c>
      <c r="E2" s="12">
        <v>4</v>
      </c>
      <c r="F2" s="10">
        <v>5</v>
      </c>
      <c r="G2" s="11">
        <v>6</v>
      </c>
      <c r="H2" s="11">
        <v>7</v>
      </c>
      <c r="I2" s="12">
        <v>8</v>
      </c>
      <c r="J2" s="10">
        <v>9</v>
      </c>
    </row>
    <row r="3" spans="1:10" x14ac:dyDescent="0.3">
      <c r="A3" s="8" t="s">
        <v>10</v>
      </c>
      <c r="B3" s="13" t="s">
        <v>0</v>
      </c>
      <c r="C3" s="14" t="s">
        <v>1</v>
      </c>
      <c r="D3" s="14" t="s">
        <v>2</v>
      </c>
      <c r="E3" s="15" t="s">
        <v>3</v>
      </c>
      <c r="F3" s="13" t="s">
        <v>4</v>
      </c>
      <c r="G3" s="14" t="s">
        <v>5</v>
      </c>
      <c r="H3" s="14" t="s">
        <v>6</v>
      </c>
      <c r="I3" s="15" t="s">
        <v>7</v>
      </c>
      <c r="J3" s="13" t="s">
        <v>8</v>
      </c>
    </row>
    <row r="4" spans="1:10" x14ac:dyDescent="0.3">
      <c r="A4" s="8" t="s">
        <v>11</v>
      </c>
      <c r="B4" s="10">
        <v>19.989999999999998</v>
      </c>
      <c r="C4" s="11">
        <v>29.99</v>
      </c>
      <c r="D4" s="11">
        <v>49.99</v>
      </c>
      <c r="E4" s="12">
        <v>99.99</v>
      </c>
      <c r="F4" s="10">
        <v>9.99</v>
      </c>
      <c r="G4" s="11">
        <v>59.99</v>
      </c>
      <c r="H4" s="11">
        <v>39.99</v>
      </c>
      <c r="I4" s="12">
        <v>199.99</v>
      </c>
      <c r="J4" s="10">
        <v>24.99</v>
      </c>
    </row>
    <row r="5" spans="1:10" x14ac:dyDescent="0.3">
      <c r="A5" s="8" t="s">
        <v>12</v>
      </c>
      <c r="B5" s="13">
        <v>150</v>
      </c>
      <c r="C5" s="14">
        <v>200</v>
      </c>
      <c r="D5" s="14">
        <v>100</v>
      </c>
      <c r="E5" s="15">
        <v>75</v>
      </c>
      <c r="F5" s="13">
        <v>300</v>
      </c>
      <c r="G5" s="14">
        <v>50</v>
      </c>
      <c r="H5" s="14">
        <v>120</v>
      </c>
      <c r="I5" s="15">
        <v>25</v>
      </c>
      <c r="J5" s="13">
        <v>220</v>
      </c>
    </row>
    <row r="7" spans="1:10" ht="18" x14ac:dyDescent="0.3">
      <c r="A7" s="4" t="s">
        <v>21</v>
      </c>
    </row>
    <row r="8" spans="1:10" x14ac:dyDescent="0.3">
      <c r="A8" s="5"/>
      <c r="G8" t="s">
        <v>70</v>
      </c>
      <c r="H8" s="8" t="s">
        <v>9</v>
      </c>
      <c r="I8" s="8" t="s">
        <v>10</v>
      </c>
    </row>
    <row r="9" spans="1:10" x14ac:dyDescent="0.3">
      <c r="A9" s="6" t="s">
        <v>27</v>
      </c>
      <c r="E9" t="str">
        <f>HLOOKUP(G2,A2:J5,2,0)</f>
        <v>Instrument F</v>
      </c>
      <c r="F9" t="str">
        <f>HLOOKUP(G2,A2:J5,2,0)</f>
        <v>Instrument F</v>
      </c>
      <c r="H9" s="28">
        <v>6</v>
      </c>
      <c r="I9" t="str">
        <f>HLOOKUP(H9,A2:J5,2,FALSE)</f>
        <v>Instrument F</v>
      </c>
    </row>
    <row r="10" spans="1:10" x14ac:dyDescent="0.3">
      <c r="A10" s="6" t="s">
        <v>28</v>
      </c>
      <c r="E10">
        <f>HLOOKUP(H2,A2:J5,3,0)</f>
        <v>39.99</v>
      </c>
      <c r="F10">
        <f>HLOOKUP(H2,A2:J5,3,0)</f>
        <v>39.99</v>
      </c>
    </row>
    <row r="11" spans="1:10" x14ac:dyDescent="0.3">
      <c r="A11" s="6" t="s">
        <v>29</v>
      </c>
      <c r="F11">
        <f>HLOOKUP(I3,A3:J5,3,0)</f>
        <v>25</v>
      </c>
      <c r="H11" s="8" t="s">
        <v>9</v>
      </c>
      <c r="I11" s="8" t="s">
        <v>10</v>
      </c>
    </row>
    <row r="12" spans="1:10" x14ac:dyDescent="0.3">
      <c r="A12" s="6" t="s">
        <v>30</v>
      </c>
      <c r="F12">
        <f>_xlfn.XLOOKUP(E4,A4:J4,A2:J2,0)</f>
        <v>4</v>
      </c>
      <c r="H12" s="28">
        <v>6</v>
      </c>
      <c r="I12" t="e">
        <f>HLOOKUP(H12,A5:J8,2,FALSE)</f>
        <v>#N/A</v>
      </c>
    </row>
    <row r="13" spans="1:10" x14ac:dyDescent="0.3">
      <c r="A13" s="6" t="s">
        <v>31</v>
      </c>
      <c r="F13">
        <f>HLOOKUP(E2,A2:J5,3,0)</f>
        <v>99.99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69CA-8317-4327-AD8D-019B4BBBF4DE}">
  <dimension ref="A1:L19"/>
  <sheetViews>
    <sheetView zoomScale="145" zoomScaleNormal="145" workbookViewId="0">
      <selection activeCell="I32" sqref="I32"/>
    </sheetView>
  </sheetViews>
  <sheetFormatPr defaultRowHeight="14.4" x14ac:dyDescent="0.3"/>
  <cols>
    <col min="1" max="1" width="9.44140625" bestFit="1" customWidth="1"/>
    <col min="2" max="2" width="12.6640625" bestFit="1" customWidth="1"/>
    <col min="3" max="3" width="6.5546875" bestFit="1" customWidth="1"/>
    <col min="4" max="4" width="13.109375" bestFit="1" customWidth="1"/>
    <col min="9" max="9" width="11.44140625" bestFit="1" customWidth="1"/>
    <col min="10" max="10" width="12.77734375" bestFit="1" customWidth="1"/>
  </cols>
  <sheetData>
    <row r="1" spans="1:12" x14ac:dyDescent="0.3">
      <c r="A1" s="7" t="s">
        <v>9</v>
      </c>
      <c r="B1" s="8" t="s">
        <v>10</v>
      </c>
      <c r="C1" s="8" t="s">
        <v>11</v>
      </c>
      <c r="D1" s="9" t="s">
        <v>12</v>
      </c>
    </row>
    <row r="2" spans="1:12" x14ac:dyDescent="0.3">
      <c r="A2" s="10">
        <v>1</v>
      </c>
      <c r="B2" s="11" t="s">
        <v>0</v>
      </c>
      <c r="C2" s="11">
        <v>19.989999999999998</v>
      </c>
      <c r="D2" s="12">
        <v>150</v>
      </c>
      <c r="G2" t="s">
        <v>13</v>
      </c>
      <c r="H2" t="s">
        <v>14</v>
      </c>
      <c r="I2" t="s">
        <v>15</v>
      </c>
    </row>
    <row r="3" spans="1:12" x14ac:dyDescent="0.3">
      <c r="A3" s="13">
        <v>2</v>
      </c>
      <c r="B3" s="14" t="s">
        <v>1</v>
      </c>
      <c r="C3" s="14">
        <v>29.99</v>
      </c>
      <c r="D3" s="15">
        <v>200</v>
      </c>
      <c r="G3">
        <v>4</v>
      </c>
      <c r="H3">
        <v>3</v>
      </c>
      <c r="I3" cm="1">
        <f t="array" ref="I3">INDEX($A$2:$D$11,$G3,$H3)</f>
        <v>99.99</v>
      </c>
    </row>
    <row r="4" spans="1:12" x14ac:dyDescent="0.3">
      <c r="A4" s="10">
        <v>3</v>
      </c>
      <c r="B4" s="11" t="s">
        <v>2</v>
      </c>
      <c r="C4" s="11">
        <v>49.99</v>
      </c>
      <c r="D4" s="12">
        <v>100</v>
      </c>
      <c r="G4">
        <v>5</v>
      </c>
      <c r="H4">
        <v>4</v>
      </c>
      <c r="I4" cm="1">
        <f t="array" ref="I4">INDEX($A$2:$D$11,$G4,$H4)</f>
        <v>300</v>
      </c>
    </row>
    <row r="5" spans="1:12" x14ac:dyDescent="0.3">
      <c r="A5" s="13">
        <v>4</v>
      </c>
      <c r="B5" s="14" t="s">
        <v>3</v>
      </c>
      <c r="C5" s="14">
        <v>99.99</v>
      </c>
      <c r="D5" s="15">
        <v>75</v>
      </c>
      <c r="G5">
        <v>8</v>
      </c>
      <c r="H5">
        <v>2</v>
      </c>
      <c r="I5" t="str" cm="1">
        <f t="array" ref="I5">INDEX($A$2:$D$11,$G5,$H5)</f>
        <v>Machine H</v>
      </c>
    </row>
    <row r="6" spans="1:12" x14ac:dyDescent="0.3">
      <c r="A6" s="10">
        <v>5</v>
      </c>
      <c r="B6" s="11" t="s">
        <v>4</v>
      </c>
      <c r="C6" s="11">
        <v>9.99</v>
      </c>
      <c r="D6" s="12">
        <v>300</v>
      </c>
      <c r="G6">
        <v>5</v>
      </c>
      <c r="H6">
        <v>2</v>
      </c>
      <c r="I6" t="str" cm="1">
        <f t="array" ref="I6">INDEX($A$2:$D$11,$G6,$H6)</f>
        <v>Tool E</v>
      </c>
    </row>
    <row r="7" spans="1:12" x14ac:dyDescent="0.3">
      <c r="A7" s="13">
        <v>6</v>
      </c>
      <c r="B7" s="14" t="s">
        <v>5</v>
      </c>
      <c r="C7" s="14">
        <v>59.99</v>
      </c>
      <c r="D7" s="15">
        <v>50</v>
      </c>
      <c r="G7">
        <v>2</v>
      </c>
      <c r="H7">
        <v>2</v>
      </c>
      <c r="I7" t="str" cm="1">
        <f t="array" ref="I7">INDEX($A$2:$D$11,$G7,$H7)</f>
        <v>Gadget B</v>
      </c>
    </row>
    <row r="8" spans="1:12" x14ac:dyDescent="0.3">
      <c r="A8" s="10">
        <v>7</v>
      </c>
      <c r="B8" s="11" t="s">
        <v>6</v>
      </c>
      <c r="C8" s="11">
        <v>39.99</v>
      </c>
      <c r="D8" s="12">
        <v>120</v>
      </c>
    </row>
    <row r="9" spans="1:12" ht="18" x14ac:dyDescent="0.3">
      <c r="A9" s="13">
        <v>8</v>
      </c>
      <c r="B9" s="14" t="s">
        <v>7</v>
      </c>
      <c r="C9" s="14">
        <v>199.99</v>
      </c>
      <c r="D9" s="15">
        <v>25</v>
      </c>
      <c r="F9" s="4" t="s">
        <v>32</v>
      </c>
    </row>
    <row r="10" spans="1:12" x14ac:dyDescent="0.3">
      <c r="A10" s="16">
        <v>9</v>
      </c>
      <c r="B10" s="17" t="s">
        <v>8</v>
      </c>
      <c r="C10" s="17">
        <v>24.99</v>
      </c>
      <c r="D10" s="18">
        <v>220</v>
      </c>
      <c r="F10" s="5"/>
    </row>
    <row r="11" spans="1:12" x14ac:dyDescent="0.3">
      <c r="A11" s="22"/>
      <c r="B11" s="17"/>
      <c r="F11" s="6" t="s">
        <v>33</v>
      </c>
      <c r="K11" t="str">
        <f>INDEX(B2:B10,3)</f>
        <v>Device C</v>
      </c>
      <c r="L11" t="str">
        <f>INDEX(B2:B10,3)</f>
        <v>Device C</v>
      </c>
    </row>
    <row r="12" spans="1:12" x14ac:dyDescent="0.3">
      <c r="F12" s="6" t="s">
        <v>34</v>
      </c>
      <c r="K12">
        <f>INDEX(C2:C10,5)</f>
        <v>9.99</v>
      </c>
      <c r="L12">
        <f>INDEX(C2:C10,5)</f>
        <v>9.99</v>
      </c>
    </row>
    <row r="13" spans="1:12" x14ac:dyDescent="0.3">
      <c r="F13" s="6" t="s">
        <v>35</v>
      </c>
      <c r="K13">
        <f>INDEX(D2:D10,7)</f>
        <v>120</v>
      </c>
      <c r="L13">
        <f>INDEX(D2:D10,7)</f>
        <v>120</v>
      </c>
    </row>
    <row r="14" spans="1:12" x14ac:dyDescent="0.3">
      <c r="F14" s="6" t="s">
        <v>36</v>
      </c>
      <c r="L14">
        <f>INDEX(A2:A10,8)</f>
        <v>8</v>
      </c>
    </row>
    <row r="15" spans="1:12" x14ac:dyDescent="0.3">
      <c r="F15" s="6" t="s">
        <v>37</v>
      </c>
      <c r="L15" t="str">
        <f>INDEX(B2:B10,2)</f>
        <v>Gadget B</v>
      </c>
    </row>
    <row r="18" spans="8:10" x14ac:dyDescent="0.3">
      <c r="H18" s="29" t="s">
        <v>71</v>
      </c>
      <c r="I18" s="29" t="s">
        <v>14</v>
      </c>
      <c r="J18" s="21" t="s">
        <v>72</v>
      </c>
    </row>
    <row r="19" spans="8:10" x14ac:dyDescent="0.3">
      <c r="H19" s="29">
        <v>1</v>
      </c>
      <c r="I19" s="29">
        <v>4</v>
      </c>
      <c r="J19" s="29" cm="1">
        <f t="array" ref="J19">INDEX(A2:D10,H19,I19)</f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28FB-C4B5-4E47-915E-2914A724C66E}">
  <dimension ref="A1:M20"/>
  <sheetViews>
    <sheetView zoomScale="115" zoomScaleNormal="115" workbookViewId="0">
      <selection activeCell="L20" sqref="L20"/>
    </sheetView>
  </sheetViews>
  <sheetFormatPr defaultRowHeight="14.4" x14ac:dyDescent="0.3"/>
  <cols>
    <col min="1" max="1" width="17.44140625" customWidth="1"/>
    <col min="2" max="2" width="14.33203125" customWidth="1"/>
    <col min="4" max="4" width="17.6640625" customWidth="1"/>
    <col min="7" max="7" width="17.6640625" customWidth="1"/>
    <col min="11" max="11" width="13.109375" customWidth="1"/>
  </cols>
  <sheetData>
    <row r="1" spans="1:13" x14ac:dyDescent="0.3">
      <c r="A1" s="7" t="s">
        <v>9</v>
      </c>
      <c r="B1" s="8" t="s">
        <v>10</v>
      </c>
      <c r="C1" s="8" t="s">
        <v>11</v>
      </c>
      <c r="D1" s="9" t="s">
        <v>12</v>
      </c>
    </row>
    <row r="2" spans="1:13" x14ac:dyDescent="0.3">
      <c r="A2" s="10">
        <v>1</v>
      </c>
      <c r="B2" s="11" t="s">
        <v>0</v>
      </c>
      <c r="C2" s="11">
        <v>19.989999999999998</v>
      </c>
      <c r="D2" s="12">
        <v>150</v>
      </c>
    </row>
    <row r="3" spans="1:13" x14ac:dyDescent="0.3">
      <c r="A3" s="13">
        <v>2</v>
      </c>
      <c r="B3" s="14" t="s">
        <v>1</v>
      </c>
      <c r="C3" s="14">
        <v>29.99</v>
      </c>
      <c r="D3" s="15">
        <v>200</v>
      </c>
      <c r="G3" s="2" t="s">
        <v>10</v>
      </c>
    </row>
    <row r="4" spans="1:13" x14ac:dyDescent="0.3">
      <c r="A4" s="10">
        <v>3</v>
      </c>
      <c r="B4" s="11" t="s">
        <v>2</v>
      </c>
      <c r="C4" s="11">
        <v>49.99</v>
      </c>
      <c r="D4" s="12">
        <v>100</v>
      </c>
      <c r="G4" s="1" t="s">
        <v>1</v>
      </c>
      <c r="H4">
        <f>MATCH(B3,B1:B10,0)</f>
        <v>3</v>
      </c>
      <c r="I4">
        <f>MATCH(G4,$B$1:$B$10,0)</f>
        <v>3</v>
      </c>
    </row>
    <row r="5" spans="1:13" x14ac:dyDescent="0.3">
      <c r="A5" s="13">
        <v>4</v>
      </c>
      <c r="B5" s="14" t="s">
        <v>3</v>
      </c>
      <c r="C5" s="14">
        <v>99.99</v>
      </c>
      <c r="D5" s="15">
        <v>75</v>
      </c>
      <c r="G5" s="1" t="s">
        <v>6</v>
      </c>
      <c r="H5">
        <f>MATCH(B8,B1:B10,0)</f>
        <v>8</v>
      </c>
      <c r="I5">
        <f t="shared" ref="I5:I6" si="0">MATCH(G5,$B$1:$B$10,0)</f>
        <v>8</v>
      </c>
    </row>
    <row r="6" spans="1:13" x14ac:dyDescent="0.3">
      <c r="A6" s="10">
        <v>5</v>
      </c>
      <c r="B6" s="11" t="s">
        <v>4</v>
      </c>
      <c r="C6" s="11">
        <v>9.99</v>
      </c>
      <c r="D6" s="12">
        <v>300</v>
      </c>
      <c r="G6" s="1" t="s">
        <v>8</v>
      </c>
      <c r="H6">
        <f>MATCH(B10,B1:B10,0)</f>
        <v>10</v>
      </c>
      <c r="I6">
        <f t="shared" si="0"/>
        <v>10</v>
      </c>
    </row>
    <row r="7" spans="1:13" x14ac:dyDescent="0.3">
      <c r="A7" s="13">
        <v>6</v>
      </c>
      <c r="B7" s="14" t="s">
        <v>5</v>
      </c>
      <c r="C7" s="14">
        <v>59.99</v>
      </c>
      <c r="D7" s="15">
        <v>50</v>
      </c>
    </row>
    <row r="8" spans="1:13" ht="18" x14ac:dyDescent="0.3">
      <c r="A8" s="10">
        <v>7</v>
      </c>
      <c r="B8" s="11" t="s">
        <v>6</v>
      </c>
      <c r="C8" s="11">
        <v>39.99</v>
      </c>
      <c r="D8" s="12">
        <v>120</v>
      </c>
      <c r="G8" s="4" t="s">
        <v>38</v>
      </c>
    </row>
    <row r="9" spans="1:13" x14ac:dyDescent="0.3">
      <c r="A9" s="13">
        <v>8</v>
      </c>
      <c r="B9" s="14" t="s">
        <v>7</v>
      </c>
      <c r="C9" s="14">
        <v>199.99</v>
      </c>
      <c r="D9" s="15">
        <v>25</v>
      </c>
      <c r="G9" s="5"/>
    </row>
    <row r="10" spans="1:13" x14ac:dyDescent="0.3">
      <c r="A10" s="16">
        <v>9</v>
      </c>
      <c r="B10" s="17" t="s">
        <v>8</v>
      </c>
      <c r="C10" s="17">
        <v>24.99</v>
      </c>
      <c r="D10" s="18">
        <v>220</v>
      </c>
      <c r="G10" s="6" t="s">
        <v>39</v>
      </c>
      <c r="L10">
        <f>MATCH(B5,B1:B10,0)</f>
        <v>5</v>
      </c>
      <c r="M10">
        <f>MATCH(B5,B1:B10,0)</f>
        <v>5</v>
      </c>
    </row>
    <row r="11" spans="1:13" x14ac:dyDescent="0.3">
      <c r="G11" s="6" t="s">
        <v>40</v>
      </c>
      <c r="L11">
        <f>MATCH(C10,C1:C10,0)</f>
        <v>10</v>
      </c>
    </row>
    <row r="12" spans="1:13" x14ac:dyDescent="0.3">
      <c r="G12" s="6" t="s">
        <v>41</v>
      </c>
      <c r="L12">
        <f>MATCH(D7,D1:D10,0)</f>
        <v>7</v>
      </c>
    </row>
    <row r="13" spans="1:13" x14ac:dyDescent="0.3">
      <c r="G13" s="6" t="s">
        <v>42</v>
      </c>
      <c r="L13">
        <f>MATCH(A7,A1:A10,0)</f>
        <v>7</v>
      </c>
    </row>
    <row r="14" spans="1:13" x14ac:dyDescent="0.3">
      <c r="G14" s="6" t="s">
        <v>43</v>
      </c>
      <c r="L14">
        <f>MATCH(B2,B1:B10,0)</f>
        <v>2</v>
      </c>
    </row>
    <row r="18" spans="7:12" x14ac:dyDescent="0.3">
      <c r="G18">
        <f>MATCH(C1,A1:D1,0)</f>
        <v>3</v>
      </c>
      <c r="L18" t="s">
        <v>73</v>
      </c>
    </row>
    <row r="19" spans="7:12" x14ac:dyDescent="0.3">
      <c r="G19">
        <f>MATCH(A5,A2:A10,0)</f>
        <v>4</v>
      </c>
    </row>
    <row r="20" spans="7:12" x14ac:dyDescent="0.3">
      <c r="G20">
        <f>MATCH(D8,D1:D10,0)</f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3484-4D67-40A9-85AC-C3DA08A312DE}">
  <dimension ref="A1:L25"/>
  <sheetViews>
    <sheetView workbookViewId="0">
      <selection activeCell="G26" sqref="G26"/>
    </sheetView>
  </sheetViews>
  <sheetFormatPr defaultRowHeight="14.4" x14ac:dyDescent="0.3"/>
  <cols>
    <col min="1" max="2" width="18.5546875" customWidth="1"/>
    <col min="3" max="3" width="19.44140625" customWidth="1"/>
    <col min="4" max="4" width="14.21875" customWidth="1"/>
    <col min="5" max="5" width="16.33203125" customWidth="1"/>
    <col min="6" max="6" width="10.5546875" bestFit="1" customWidth="1"/>
    <col min="7" max="7" width="52" bestFit="1" customWidth="1"/>
    <col min="8" max="8" width="10.5546875" bestFit="1" customWidth="1"/>
  </cols>
  <sheetData>
    <row r="1" spans="1:12" ht="28.8" x14ac:dyDescent="0.3">
      <c r="A1" s="7" t="s">
        <v>9</v>
      </c>
      <c r="B1" s="8" t="s">
        <v>10</v>
      </c>
      <c r="C1" s="8" t="s">
        <v>11</v>
      </c>
      <c r="D1" s="9" t="s">
        <v>12</v>
      </c>
    </row>
    <row r="2" spans="1:12" x14ac:dyDescent="0.3">
      <c r="A2" s="10">
        <v>1</v>
      </c>
      <c r="B2" s="11" t="s">
        <v>0</v>
      </c>
      <c r="C2" s="11">
        <v>19.989999999999998</v>
      </c>
      <c r="D2" s="12">
        <v>150</v>
      </c>
      <c r="G2" t="s">
        <v>16</v>
      </c>
      <c r="H2" t="str">
        <f>INDEX(B2:B10, MATCH(4, A2:A10, 0))</f>
        <v>Appliance D</v>
      </c>
      <c r="I2" s="2"/>
      <c r="J2" s="2"/>
      <c r="K2" s="2"/>
      <c r="L2" s="2"/>
    </row>
    <row r="3" spans="1:12" x14ac:dyDescent="0.3">
      <c r="A3" s="13">
        <v>2</v>
      </c>
      <c r="B3" s="14" t="s">
        <v>1</v>
      </c>
      <c r="C3" s="14">
        <v>29.99</v>
      </c>
      <c r="D3" s="15">
        <v>200</v>
      </c>
      <c r="G3" t="s">
        <v>17</v>
      </c>
      <c r="H3">
        <f>INDEX(C1:C10,MATCH(B6,B1:B10,0))</f>
        <v>9.99</v>
      </c>
      <c r="I3" s="1"/>
      <c r="J3" s="1"/>
      <c r="K3" s="1"/>
      <c r="L3" s="1"/>
    </row>
    <row r="4" spans="1:12" x14ac:dyDescent="0.3">
      <c r="A4" s="10">
        <v>3</v>
      </c>
      <c r="B4" s="11" t="s">
        <v>2</v>
      </c>
      <c r="C4" s="11">
        <v>49.99</v>
      </c>
      <c r="D4" s="12">
        <v>100</v>
      </c>
      <c r="G4" t="s">
        <v>18</v>
      </c>
      <c r="H4">
        <f>INDEX(D1:D10,MATCH(MAX(C1:C10),C1:C10,0))</f>
        <v>25</v>
      </c>
      <c r="I4" s="1"/>
      <c r="J4" s="1"/>
      <c r="K4" s="1"/>
      <c r="L4" s="1"/>
    </row>
    <row r="5" spans="1:12" x14ac:dyDescent="0.3">
      <c r="A5" s="13">
        <v>4</v>
      </c>
      <c r="B5" s="14" t="s">
        <v>3</v>
      </c>
      <c r="C5" s="14">
        <v>99.99</v>
      </c>
      <c r="D5" s="15">
        <v>75</v>
      </c>
      <c r="G5" t="s">
        <v>19</v>
      </c>
      <c r="H5">
        <f>INDEX(A2:A10,MATCH(24.99,C2:C10,0))</f>
        <v>9</v>
      </c>
      <c r="I5" s="1"/>
      <c r="J5" s="1"/>
      <c r="K5" s="1"/>
      <c r="L5" s="1"/>
    </row>
    <row r="6" spans="1:12" x14ac:dyDescent="0.3">
      <c r="A6" s="10">
        <v>5</v>
      </c>
      <c r="B6" s="11" t="s">
        <v>4</v>
      </c>
      <c r="C6" s="11">
        <v>9.99</v>
      </c>
      <c r="D6" s="12">
        <v>300</v>
      </c>
      <c r="G6" t="s">
        <v>20</v>
      </c>
      <c r="H6">
        <f>INDEX(C2:C10,MATCH(MIN(D2:D10),D2:D10,0))</f>
        <v>199.99</v>
      </c>
      <c r="I6" s="1"/>
      <c r="J6" s="1"/>
      <c r="K6" s="1"/>
      <c r="L6" s="1"/>
    </row>
    <row r="7" spans="1:12" x14ac:dyDescent="0.3">
      <c r="A7" s="13">
        <v>6</v>
      </c>
      <c r="B7" s="14" t="s">
        <v>5</v>
      </c>
      <c r="C7" s="14">
        <v>59.99</v>
      </c>
      <c r="D7" s="15">
        <v>50</v>
      </c>
      <c r="I7" s="1"/>
      <c r="J7" s="1"/>
      <c r="K7" s="1"/>
      <c r="L7" s="1"/>
    </row>
    <row r="8" spans="1:12" x14ac:dyDescent="0.3">
      <c r="A8" s="10">
        <v>7</v>
      </c>
      <c r="B8" s="11" t="s">
        <v>6</v>
      </c>
      <c r="C8" s="11">
        <v>39.99</v>
      </c>
      <c r="D8" s="12">
        <v>120</v>
      </c>
      <c r="I8" s="1"/>
      <c r="J8" s="1"/>
      <c r="K8" s="1"/>
      <c r="L8" s="1"/>
    </row>
    <row r="9" spans="1:12" x14ac:dyDescent="0.3">
      <c r="A9" s="13">
        <v>8</v>
      </c>
      <c r="B9" s="14" t="s">
        <v>7</v>
      </c>
      <c r="C9" s="14">
        <v>199.99</v>
      </c>
      <c r="D9" s="15">
        <v>25</v>
      </c>
      <c r="I9" s="1"/>
      <c r="J9" s="1"/>
      <c r="K9" s="1"/>
      <c r="L9" s="1"/>
    </row>
    <row r="10" spans="1:12" x14ac:dyDescent="0.3">
      <c r="A10" s="16">
        <v>9</v>
      </c>
      <c r="B10" s="17" t="s">
        <v>8</v>
      </c>
      <c r="C10" s="17">
        <v>24.99</v>
      </c>
      <c r="D10" s="18">
        <v>220</v>
      </c>
      <c r="I10" s="1"/>
      <c r="J10" s="1"/>
      <c r="K10" s="1"/>
      <c r="L10" s="1"/>
    </row>
    <row r="11" spans="1:12" x14ac:dyDescent="0.3">
      <c r="G11" t="str">
        <f>INDEX(B1:B10,MATCH(A5,A1:A10,0))</f>
        <v>Appliance D</v>
      </c>
      <c r="I11" s="1"/>
      <c r="J11" s="1"/>
      <c r="K11" s="1"/>
      <c r="L11" s="1"/>
    </row>
    <row r="12" spans="1:12" x14ac:dyDescent="0.3">
      <c r="G12">
        <f>INDEX(C1:C10,MATCH(B6,B1:B10,0))</f>
        <v>9.99</v>
      </c>
    </row>
    <row r="13" spans="1:12" x14ac:dyDescent="0.3">
      <c r="G13">
        <f>INDEX(D1:D10,MATCH(MAX(C1:C10),C1:C10,0))</f>
        <v>25</v>
      </c>
    </row>
    <row r="14" spans="1:12" x14ac:dyDescent="0.3">
      <c r="G14">
        <f>INDEX(A1:A10,MATCH(C10,C1:C10,0))</f>
        <v>9</v>
      </c>
    </row>
    <row r="15" spans="1:12" x14ac:dyDescent="0.3">
      <c r="G15">
        <f>INDEX(C1:C10,MATCH(MIN(D1:D10),D1:D10,0))</f>
        <v>199.99</v>
      </c>
    </row>
    <row r="19" spans="5:7" x14ac:dyDescent="0.3">
      <c r="E19">
        <f>MATCH(B5,B2:B10,0)</f>
        <v>4</v>
      </c>
      <c r="F19" t="str" cm="1">
        <f t="array" ref="F19">INDEX(A2:D10,E19,2)</f>
        <v>Appliance D</v>
      </c>
    </row>
    <row r="20" spans="5:7" x14ac:dyDescent="0.3">
      <c r="F20" t="str">
        <f>INDEX(B2:B10,MATCH(A5,A2:A10,0))</f>
        <v>Appliance D</v>
      </c>
      <c r="G20">
        <f>INDEX(A2:A10,MATCH(C10,C2:C10,0))</f>
        <v>9</v>
      </c>
    </row>
    <row r="21" spans="5:7" x14ac:dyDescent="0.3">
      <c r="G21">
        <f>INDEX(C2:C10,MATCH(B6,B2:B10,0))</f>
        <v>9.99</v>
      </c>
    </row>
    <row r="22" spans="5:7" x14ac:dyDescent="0.3">
      <c r="G22">
        <f>INDEX(D2:D10,MATCH(MAX(C2:C10),C2:C10,0))</f>
        <v>25</v>
      </c>
    </row>
    <row r="23" spans="5:7" x14ac:dyDescent="0.3">
      <c r="G23">
        <f>INDEX(C2:C10,MATCH(MIN(D2:D10),D2:D10,0))</f>
        <v>199.99</v>
      </c>
    </row>
    <row r="24" spans="5:7" x14ac:dyDescent="0.3">
      <c r="G24">
        <f>INDEX(C2:C10,MATCH(B6,B2:B10,0))</f>
        <v>9.99</v>
      </c>
    </row>
    <row r="25" spans="5:7" x14ac:dyDescent="0.3">
      <c r="G25">
        <f>INDEX(C2:C10,MATCH(MIN(D2:D10),D2:D10,0))</f>
        <v>199.99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1456-A704-464D-89FD-1CE78B292999}">
  <dimension ref="A1:J12"/>
  <sheetViews>
    <sheetView zoomScale="160" zoomScaleNormal="160" workbookViewId="0">
      <selection activeCell="I1" sqref="I1"/>
    </sheetView>
  </sheetViews>
  <sheetFormatPr defaultRowHeight="14.4" x14ac:dyDescent="0.3"/>
  <cols>
    <col min="1" max="1" width="16" customWidth="1"/>
    <col min="2" max="2" width="18.109375" customWidth="1"/>
    <col min="3" max="3" width="10.109375" customWidth="1"/>
    <col min="4" max="4" width="16.88671875" customWidth="1"/>
    <col min="6" max="6" width="4.33203125" customWidth="1"/>
    <col min="7" max="7" width="5.6640625" customWidth="1"/>
    <col min="9" max="9" width="21.44140625" customWidth="1"/>
    <col min="10" max="10" width="16.109375" customWidth="1"/>
  </cols>
  <sheetData>
    <row r="1" spans="1:10" x14ac:dyDescent="0.3">
      <c r="A1" s="7" t="s">
        <v>9</v>
      </c>
      <c r="B1" s="8" t="s">
        <v>10</v>
      </c>
      <c r="C1" s="8" t="s">
        <v>11</v>
      </c>
      <c r="D1" s="9" t="s">
        <v>12</v>
      </c>
    </row>
    <row r="2" spans="1:10" x14ac:dyDescent="0.3">
      <c r="A2" s="10">
        <v>1</v>
      </c>
      <c r="B2" s="11" t="s">
        <v>0</v>
      </c>
      <c r="C2" s="11">
        <v>19.989999999999998</v>
      </c>
      <c r="D2" s="12">
        <v>150</v>
      </c>
      <c r="I2" s="9" t="s">
        <v>12</v>
      </c>
    </row>
    <row r="3" spans="1:10" x14ac:dyDescent="0.3">
      <c r="A3" s="13">
        <v>2</v>
      </c>
      <c r="B3" s="14" t="s">
        <v>1</v>
      </c>
      <c r="C3" s="14">
        <v>29.99</v>
      </c>
      <c r="D3" s="15">
        <v>200</v>
      </c>
      <c r="H3" t="s">
        <v>44</v>
      </c>
      <c r="I3">
        <f ca="1">SUM(INDIRECT(I2))</f>
        <v>1240</v>
      </c>
      <c r="J3" t="str">
        <f ca="1">_xlfn.FORMULATEXT(I3)</f>
        <v>=SUM(INDIRECT(I2))</v>
      </c>
    </row>
    <row r="4" spans="1:10" x14ac:dyDescent="0.3">
      <c r="A4" s="10">
        <v>3</v>
      </c>
      <c r="B4" s="11" t="s">
        <v>2</v>
      </c>
      <c r="C4" s="11">
        <v>49.99</v>
      </c>
      <c r="D4" s="12">
        <v>100</v>
      </c>
      <c r="H4" t="s">
        <v>45</v>
      </c>
      <c r="I4">
        <f ca="1">AVERAGE(INDIRECT(I2))</f>
        <v>137.77777777777777</v>
      </c>
    </row>
    <row r="5" spans="1:10" x14ac:dyDescent="0.3">
      <c r="A5" s="13">
        <v>4</v>
      </c>
      <c r="B5" s="14" t="s">
        <v>3</v>
      </c>
      <c r="C5" s="14">
        <v>99.99</v>
      </c>
      <c r="D5" s="15">
        <v>75</v>
      </c>
    </row>
    <row r="6" spans="1:10" x14ac:dyDescent="0.3">
      <c r="A6" s="10">
        <v>5</v>
      </c>
      <c r="B6" s="11" t="s">
        <v>4</v>
      </c>
      <c r="C6" s="11">
        <v>9.99</v>
      </c>
      <c r="D6" s="12">
        <v>300</v>
      </c>
    </row>
    <row r="7" spans="1:10" x14ac:dyDescent="0.3">
      <c r="A7" s="13">
        <v>6</v>
      </c>
      <c r="B7" s="14" t="s">
        <v>5</v>
      </c>
      <c r="C7" s="14">
        <v>59.99</v>
      </c>
      <c r="D7" s="15">
        <v>50</v>
      </c>
    </row>
    <row r="8" spans="1:10" x14ac:dyDescent="0.3">
      <c r="A8" s="10">
        <v>7</v>
      </c>
      <c r="B8" s="11" t="s">
        <v>6</v>
      </c>
      <c r="C8" s="11">
        <v>39.99</v>
      </c>
      <c r="D8" s="12">
        <v>120</v>
      </c>
    </row>
    <row r="9" spans="1:10" x14ac:dyDescent="0.3">
      <c r="A9" s="13">
        <v>8</v>
      </c>
      <c r="B9" s="14" t="s">
        <v>7</v>
      </c>
      <c r="C9" s="14">
        <v>199.99</v>
      </c>
      <c r="D9" s="15">
        <v>25</v>
      </c>
      <c r="F9" s="20" t="s">
        <v>55</v>
      </c>
      <c r="G9" s="19" t="s">
        <v>54</v>
      </c>
    </row>
    <row r="10" spans="1:10" x14ac:dyDescent="0.3">
      <c r="A10" s="16">
        <v>9</v>
      </c>
      <c r="B10" s="17" t="s">
        <v>8</v>
      </c>
      <c r="C10" s="17">
        <v>24.99</v>
      </c>
      <c r="D10" s="18">
        <v>220</v>
      </c>
    </row>
    <row r="12" spans="1:10" x14ac:dyDescent="0.3">
      <c r="B12" s="1"/>
      <c r="F12" t="str" cm="1">
        <f t="array" aca="1" ref="F12" ca="1">INDIRECT(F9)</f>
        <v>Hello world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CDD0-988E-4BD2-A9C9-34F2822DEBDD}">
  <dimension ref="A1:G7"/>
  <sheetViews>
    <sheetView zoomScale="282" zoomScaleNormal="310" workbookViewId="0">
      <selection activeCell="B5" sqref="B5"/>
    </sheetView>
  </sheetViews>
  <sheetFormatPr defaultRowHeight="14.4" x14ac:dyDescent="0.3"/>
  <sheetData>
    <row r="1" spans="1:7" x14ac:dyDescent="0.3">
      <c r="A1" s="21" t="s">
        <v>56</v>
      </c>
      <c r="B1" s="21" t="s">
        <v>59</v>
      </c>
      <c r="C1" s="21" t="s">
        <v>60</v>
      </c>
    </row>
    <row r="2" spans="1:7" x14ac:dyDescent="0.3">
      <c r="A2" s="21" t="s">
        <v>57</v>
      </c>
      <c r="B2" s="21">
        <v>56</v>
      </c>
      <c r="C2" s="21">
        <v>45</v>
      </c>
    </row>
    <row r="3" spans="1:7" x14ac:dyDescent="0.3">
      <c r="A3" s="21" t="s">
        <v>58</v>
      </c>
      <c r="B3" s="21">
        <v>66</v>
      </c>
      <c r="C3" s="21">
        <v>86</v>
      </c>
      <c r="E3" t="s">
        <v>75</v>
      </c>
      <c r="G3" t="s">
        <v>74</v>
      </c>
    </row>
    <row r="5" spans="1:7" x14ac:dyDescent="0.3">
      <c r="A5" t="s">
        <v>61</v>
      </c>
      <c r="B5" t="s">
        <v>60</v>
      </c>
      <c r="E5" t="str">
        <f>E3</f>
        <v>g3</v>
      </c>
      <c r="G5" t="str">
        <f>G3</f>
        <v>HELLO WORLD</v>
      </c>
    </row>
    <row r="6" spans="1:7" x14ac:dyDescent="0.3">
      <c r="A6" t="s">
        <v>44</v>
      </c>
      <c r="B6">
        <f ca="1">SUM(INDIRECT(B5))</f>
        <v>131</v>
      </c>
    </row>
    <row r="7" spans="1:7" x14ac:dyDescent="0.3">
      <c r="E7" t="str" cm="1">
        <f t="array" aca="1" ref="E7" ca="1">INDIRECT(E3)</f>
        <v>HELLO WORLD</v>
      </c>
    </row>
  </sheetData>
  <dataValidations count="1">
    <dataValidation type="list" allowBlank="1" showInputMessage="1" showErrorMessage="1" sqref="B5" xr:uid="{44F64580-2DB2-4071-A7C7-1EF52D45B245}">
      <formula1>$B$1:$C$1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4C47-3B19-49AE-82EE-7E7E23480D58}">
  <dimension ref="A1:N15"/>
  <sheetViews>
    <sheetView workbookViewId="0">
      <selection activeCell="E4" sqref="E4"/>
    </sheetView>
  </sheetViews>
  <sheetFormatPr defaultRowHeight="14.4" x14ac:dyDescent="0.3"/>
  <cols>
    <col min="1" max="1" width="14.5546875" customWidth="1"/>
    <col min="2" max="2" width="7" bestFit="1" customWidth="1"/>
    <col min="3" max="3" width="14.88671875" customWidth="1"/>
    <col min="10" max="10" width="10.6640625" bestFit="1" customWidth="1"/>
    <col min="11" max="11" width="12" bestFit="1" customWidth="1"/>
  </cols>
  <sheetData>
    <row r="1" spans="1:14" x14ac:dyDescent="0.3">
      <c r="A1" t="s">
        <v>62</v>
      </c>
      <c r="B1" t="s">
        <v>11</v>
      </c>
      <c r="C1" t="s">
        <v>12</v>
      </c>
    </row>
    <row r="2" spans="1:14" x14ac:dyDescent="0.3">
      <c r="A2" t="s">
        <v>0</v>
      </c>
      <c r="B2">
        <v>19.989999999999998</v>
      </c>
      <c r="C2">
        <v>150</v>
      </c>
    </row>
    <row r="3" spans="1:14" x14ac:dyDescent="0.3">
      <c r="A3" t="s">
        <v>1</v>
      </c>
      <c r="B3">
        <v>29.99</v>
      </c>
      <c r="C3">
        <v>200</v>
      </c>
      <c r="J3" s="21" t="s">
        <v>56</v>
      </c>
      <c r="K3" s="21" t="s">
        <v>76</v>
      </c>
      <c r="L3" s="21" t="s">
        <v>77</v>
      </c>
      <c r="M3" s="21" t="s">
        <v>78</v>
      </c>
      <c r="N3" s="21" t="s">
        <v>79</v>
      </c>
    </row>
    <row r="4" spans="1:14" x14ac:dyDescent="0.3">
      <c r="A4" t="s">
        <v>2</v>
      </c>
      <c r="B4">
        <v>49.99</v>
      </c>
      <c r="C4">
        <v>100</v>
      </c>
      <c r="J4" s="21" t="s">
        <v>57</v>
      </c>
      <c r="K4" s="21">
        <v>100</v>
      </c>
      <c r="L4" s="21">
        <v>200</v>
      </c>
      <c r="M4" s="21">
        <v>360</v>
      </c>
      <c r="N4" s="21">
        <v>456</v>
      </c>
    </row>
    <row r="5" spans="1:14" x14ac:dyDescent="0.3">
      <c r="A5" t="s">
        <v>3</v>
      </c>
      <c r="B5">
        <v>99.99</v>
      </c>
      <c r="C5">
        <v>75</v>
      </c>
      <c r="J5" s="21" t="s">
        <v>58</v>
      </c>
      <c r="K5" s="21">
        <v>200</v>
      </c>
      <c r="L5" s="21">
        <v>250</v>
      </c>
      <c r="M5" s="21">
        <v>159</v>
      </c>
      <c r="N5" s="21">
        <v>456</v>
      </c>
    </row>
    <row r="6" spans="1:14" x14ac:dyDescent="0.3">
      <c r="A6" t="s">
        <v>4</v>
      </c>
      <c r="B6">
        <v>9.99</v>
      </c>
      <c r="C6">
        <v>300</v>
      </c>
      <c r="J6" s="21" t="s">
        <v>80</v>
      </c>
      <c r="K6" s="21">
        <v>300</v>
      </c>
      <c r="L6" s="21">
        <v>299</v>
      </c>
      <c r="M6" s="21">
        <v>357</v>
      </c>
      <c r="N6" s="21">
        <v>369</v>
      </c>
    </row>
    <row r="7" spans="1:14" x14ac:dyDescent="0.3">
      <c r="A7" t="s">
        <v>5</v>
      </c>
      <c r="B7">
        <v>59.99</v>
      </c>
      <c r="C7">
        <v>50</v>
      </c>
    </row>
    <row r="8" spans="1:14" x14ac:dyDescent="0.3">
      <c r="A8" t="s">
        <v>6</v>
      </c>
      <c r="B8">
        <v>39.99</v>
      </c>
      <c r="C8">
        <v>120</v>
      </c>
    </row>
    <row r="9" spans="1:14" x14ac:dyDescent="0.3">
      <c r="A9" t="s">
        <v>7</v>
      </c>
      <c r="B9">
        <v>199.99</v>
      </c>
      <c r="C9">
        <v>25</v>
      </c>
    </row>
    <row r="10" spans="1:14" x14ac:dyDescent="0.3">
      <c r="A10" t="s">
        <v>8</v>
      </c>
      <c r="B10">
        <v>24.99</v>
      </c>
      <c r="C10">
        <v>220</v>
      </c>
      <c r="J10" s="21" t="s">
        <v>61</v>
      </c>
      <c r="K10" s="21" t="s">
        <v>76</v>
      </c>
    </row>
    <row r="11" spans="1:14" x14ac:dyDescent="0.3">
      <c r="J11" s="21" t="s">
        <v>81</v>
      </c>
      <c r="K11" s="21">
        <f ca="1">SUM(INDIRECT(K10))</f>
        <v>600</v>
      </c>
    </row>
    <row r="12" spans="1:14" x14ac:dyDescent="0.3">
      <c r="J12" s="21" t="s">
        <v>82</v>
      </c>
      <c r="K12" s="21">
        <f ca="1">AVERAGE(INDIRECT(K10))</f>
        <v>200</v>
      </c>
    </row>
    <row r="13" spans="1:14" x14ac:dyDescent="0.3">
      <c r="J13" s="21" t="s">
        <v>83</v>
      </c>
      <c r="K13" s="21">
        <f ca="1">MIN(INDIRECT(K10))</f>
        <v>100</v>
      </c>
    </row>
    <row r="14" spans="1:14" x14ac:dyDescent="0.3">
      <c r="A14" t="s">
        <v>10</v>
      </c>
      <c r="B14" t="s">
        <v>11</v>
      </c>
      <c r="C14" t="s">
        <v>12</v>
      </c>
      <c r="J14" s="21" t="s">
        <v>84</v>
      </c>
      <c r="K14" s="21">
        <f ca="1">MAX(INDIRECT(K10))</f>
        <v>300</v>
      </c>
    </row>
    <row r="15" spans="1:14" x14ac:dyDescent="0.3">
      <c r="A15" t="s">
        <v>6</v>
      </c>
      <c r="B15">
        <f>VLOOKUP(A15,Table1[],2,FALSE)</f>
        <v>39.99</v>
      </c>
      <c r="C15">
        <f>VLOOKUP(Table2[[#This Row],[ProductName]],Table1[],3,FALSE)</f>
        <v>120</v>
      </c>
    </row>
  </sheetData>
  <dataValidations count="2">
    <dataValidation type="list" allowBlank="1" showInputMessage="1" showErrorMessage="1" sqref="A15" xr:uid="{BCF6DB8E-5110-4170-823C-52318E469DDA}">
      <formula1>$A$2:$A$10</formula1>
    </dataValidation>
    <dataValidation type="list" allowBlank="1" showInputMessage="1" showErrorMessage="1" sqref="K10" xr:uid="{BBF350EA-72E4-4B86-9BF2-02A888AC99C8}">
      <formula1>$K$3:$N$3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3D54-569A-412C-8F90-53AF6B4DDE7F}">
  <dimension ref="A1:P20"/>
  <sheetViews>
    <sheetView workbookViewId="0">
      <selection activeCell="H20" sqref="H20"/>
    </sheetView>
  </sheetViews>
  <sheetFormatPr defaultRowHeight="14.4" x14ac:dyDescent="0.3"/>
  <cols>
    <col min="1" max="4" width="14.6640625" customWidth="1"/>
    <col min="7" max="17" width="16.33203125" customWidth="1"/>
  </cols>
  <sheetData>
    <row r="1" spans="1:16" x14ac:dyDescent="0.3">
      <c r="A1" s="7" t="s">
        <v>9</v>
      </c>
      <c r="B1" s="8" t="s">
        <v>10</v>
      </c>
      <c r="C1" s="8" t="s">
        <v>11</v>
      </c>
      <c r="D1" s="9" t="s">
        <v>12</v>
      </c>
      <c r="G1" s="7" t="s">
        <v>9</v>
      </c>
      <c r="H1" s="10">
        <v>1</v>
      </c>
      <c r="I1" s="13">
        <v>2</v>
      </c>
      <c r="J1" s="10">
        <v>3</v>
      </c>
      <c r="K1" s="13">
        <v>4</v>
      </c>
      <c r="L1" s="10">
        <v>5</v>
      </c>
      <c r="M1" s="13">
        <v>6</v>
      </c>
      <c r="N1" s="10">
        <v>7</v>
      </c>
      <c r="O1" s="13">
        <v>8</v>
      </c>
      <c r="P1" s="16">
        <v>9</v>
      </c>
    </row>
    <row r="2" spans="1:16" ht="28.8" x14ac:dyDescent="0.3">
      <c r="A2" s="10">
        <v>1</v>
      </c>
      <c r="B2" s="11" t="s">
        <v>0</v>
      </c>
      <c r="C2" s="11">
        <v>19.989999999999998</v>
      </c>
      <c r="D2" s="12">
        <v>150</v>
      </c>
      <c r="G2" s="8" t="s">
        <v>10</v>
      </c>
      <c r="H2" s="11" t="s">
        <v>0</v>
      </c>
      <c r="I2" s="14" t="s">
        <v>1</v>
      </c>
      <c r="J2" s="11" t="s">
        <v>2</v>
      </c>
      <c r="K2" s="14" t="s">
        <v>3</v>
      </c>
      <c r="L2" s="11" t="s">
        <v>4</v>
      </c>
      <c r="M2" s="14" t="s">
        <v>5</v>
      </c>
      <c r="N2" s="11" t="s">
        <v>6</v>
      </c>
      <c r="O2" s="14" t="s">
        <v>7</v>
      </c>
      <c r="P2" s="17" t="s">
        <v>8</v>
      </c>
    </row>
    <row r="3" spans="1:16" x14ac:dyDescent="0.3">
      <c r="A3" s="13">
        <v>2</v>
      </c>
      <c r="B3" s="14" t="s">
        <v>1</v>
      </c>
      <c r="C3" s="14">
        <v>29.99</v>
      </c>
      <c r="D3" s="15">
        <v>200</v>
      </c>
      <c r="G3" s="8" t="s">
        <v>11</v>
      </c>
      <c r="H3" s="11">
        <v>19.989999999999998</v>
      </c>
      <c r="I3" s="14">
        <v>29.99</v>
      </c>
      <c r="J3" s="11">
        <v>49.99</v>
      </c>
      <c r="K3" s="14">
        <v>99.99</v>
      </c>
      <c r="L3" s="11">
        <v>9.99</v>
      </c>
      <c r="M3" s="14">
        <v>59.99</v>
      </c>
      <c r="N3" s="11">
        <v>39.99</v>
      </c>
      <c r="O3" s="14">
        <v>199.99</v>
      </c>
      <c r="P3" s="17">
        <v>24.99</v>
      </c>
    </row>
    <row r="4" spans="1:16" x14ac:dyDescent="0.3">
      <c r="A4" s="10">
        <v>3</v>
      </c>
      <c r="B4" s="11" t="s">
        <v>2</v>
      </c>
      <c r="C4" s="11">
        <v>49.99</v>
      </c>
      <c r="D4" s="12">
        <v>100</v>
      </c>
      <c r="G4" s="9" t="s">
        <v>12</v>
      </c>
      <c r="H4" s="12">
        <v>150</v>
      </c>
      <c r="I4" s="15">
        <v>200</v>
      </c>
      <c r="J4" s="12">
        <v>100</v>
      </c>
      <c r="K4" s="15">
        <v>75</v>
      </c>
      <c r="L4" s="12">
        <v>300</v>
      </c>
      <c r="M4" s="15">
        <v>50</v>
      </c>
      <c r="N4" s="12">
        <v>120</v>
      </c>
      <c r="O4" s="15">
        <v>25</v>
      </c>
      <c r="P4" s="18">
        <v>220</v>
      </c>
    </row>
    <row r="5" spans="1:16" x14ac:dyDescent="0.3">
      <c r="A5" s="13">
        <v>4</v>
      </c>
      <c r="B5" s="14" t="s">
        <v>3</v>
      </c>
      <c r="C5" s="14">
        <v>99.99</v>
      </c>
      <c r="D5" s="15">
        <v>75</v>
      </c>
    </row>
    <row r="6" spans="1:16" x14ac:dyDescent="0.3">
      <c r="A6" s="10">
        <v>5</v>
      </c>
      <c r="B6" s="11" t="s">
        <v>4</v>
      </c>
      <c r="C6" s="11">
        <v>9.99</v>
      </c>
      <c r="D6" s="12">
        <v>300</v>
      </c>
    </row>
    <row r="7" spans="1:16" x14ac:dyDescent="0.3">
      <c r="A7" s="13">
        <v>6</v>
      </c>
      <c r="B7" s="14" t="s">
        <v>5</v>
      </c>
      <c r="C7" s="14">
        <v>59.99</v>
      </c>
      <c r="D7" s="15">
        <v>50</v>
      </c>
    </row>
    <row r="8" spans="1:16" x14ac:dyDescent="0.3">
      <c r="A8" s="10">
        <v>7</v>
      </c>
      <c r="B8" s="11" t="s">
        <v>6</v>
      </c>
      <c r="C8" s="11">
        <v>39.99</v>
      </c>
      <c r="D8" s="12">
        <v>120</v>
      </c>
    </row>
    <row r="9" spans="1:16" x14ac:dyDescent="0.3">
      <c r="A9" s="13">
        <v>8</v>
      </c>
      <c r="B9" s="14" t="s">
        <v>7</v>
      </c>
      <c r="C9" s="14">
        <v>199.99</v>
      </c>
      <c r="D9" s="15">
        <v>25</v>
      </c>
    </row>
    <row r="10" spans="1:16" x14ac:dyDescent="0.3">
      <c r="A10" s="16">
        <v>9</v>
      </c>
      <c r="B10" s="17" t="s">
        <v>8</v>
      </c>
      <c r="C10" s="17">
        <v>24.99</v>
      </c>
      <c r="D10" s="18">
        <v>220</v>
      </c>
    </row>
    <row r="12" spans="1:16" ht="28.8" x14ac:dyDescent="0.3">
      <c r="H12" s="8" t="s">
        <v>10</v>
      </c>
      <c r="I12" s="8" t="s">
        <v>11</v>
      </c>
      <c r="J12" s="9" t="s">
        <v>12</v>
      </c>
    </row>
    <row r="13" spans="1:16" x14ac:dyDescent="0.3">
      <c r="H13" t="s">
        <v>8</v>
      </c>
      <c r="I13">
        <f>VLOOKUP(H13,B2:D10,MATCH(C1,B1:D1,0),FALSE)</f>
        <v>24.99</v>
      </c>
      <c r="J13">
        <f>VLOOKUP(I13,C2:E10,MATCH(D1,C1:E1,0),FALSE)</f>
        <v>220</v>
      </c>
    </row>
    <row r="15" spans="1:16" ht="28.8" x14ac:dyDescent="0.3">
      <c r="G15" s="7" t="s">
        <v>9</v>
      </c>
      <c r="H15" s="8" t="s">
        <v>10</v>
      </c>
      <c r="I15" s="8" t="s">
        <v>11</v>
      </c>
      <c r="J15" s="9" t="s">
        <v>12</v>
      </c>
      <c r="L15" s="26" t="s">
        <v>63</v>
      </c>
    </row>
    <row r="16" spans="1:16" x14ac:dyDescent="0.3">
      <c r="G16">
        <v>4</v>
      </c>
      <c r="H16" t="str">
        <f>VLOOKUP(G16,A1:D10,2,)</f>
        <v>Appliance D</v>
      </c>
      <c r="I16">
        <f t="shared" ref="I16:J16" si="0">VLOOKUP(H16,B1:E10,2,)</f>
        <v>99.99</v>
      </c>
      <c r="J16">
        <f t="shared" si="0"/>
        <v>75</v>
      </c>
    </row>
    <row r="19" spans="7:8" x14ac:dyDescent="0.3">
      <c r="G19" s="8" t="s">
        <v>10</v>
      </c>
      <c r="H19" s="7" t="s">
        <v>9</v>
      </c>
    </row>
    <row r="20" spans="7:8" x14ac:dyDescent="0.3">
      <c r="G20" s="11" t="str">
        <f>H13</f>
        <v>Implement I</v>
      </c>
      <c r="H20">
        <f>_xlfn.XLOOKUP(G20,B2:B10,A2:A10,"Not value found",FALSE)</f>
        <v>9</v>
      </c>
    </row>
  </sheetData>
  <dataValidations count="2">
    <dataValidation type="list" allowBlank="1" showInputMessage="1" showErrorMessage="1" sqref="H13" xr:uid="{2A7F4E19-F77D-48DE-B460-7D6BCAB418A4}">
      <formula1>$B$2:$B$10</formula1>
    </dataValidation>
    <dataValidation type="list" allowBlank="1" showInputMessage="1" showErrorMessage="1" sqref="G16" xr:uid="{FBFEFB6C-6B9C-4063-A3B9-17F199B184DC}">
      <formula1>$A$2:$A$10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C51F-1F82-4249-94E0-03B5FCB0B90C}">
  <dimension ref="A1:C2"/>
  <sheetViews>
    <sheetView workbookViewId="0">
      <selection activeCell="C8" sqref="C8"/>
    </sheetView>
  </sheetViews>
  <sheetFormatPr defaultRowHeight="14.4" x14ac:dyDescent="0.3"/>
  <cols>
    <col min="1" max="1" width="12.6640625" bestFit="1" customWidth="1"/>
    <col min="2" max="3" width="26.33203125" bestFit="1" customWidth="1"/>
  </cols>
  <sheetData>
    <row r="1" spans="1:3" x14ac:dyDescent="0.3">
      <c r="A1" s="23" t="s">
        <v>10</v>
      </c>
      <c r="B1" s="24" t="s">
        <v>11</v>
      </c>
      <c r="C1" s="25" t="s">
        <v>12</v>
      </c>
    </row>
    <row r="2" spans="1:3" x14ac:dyDescent="0.3">
      <c r="A2" t="s">
        <v>4</v>
      </c>
      <c r="B2">
        <f>IFERROR(VLOOKUP(A2,Table1[#All],2,FALSE),"Select the Value from given list")</f>
        <v>9.99</v>
      </c>
      <c r="C2">
        <f>IFERROR(VLOOKUP(A2,Table1[#All],3,FALSE),"Select the Value from given list")</f>
        <v>300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5BEA25-1E8B-4418-A88A-E1B16712113B}">
          <x14:formula1>
            <xm:f>Sheet2!$A$2:$A$10</xm:f>
          </x14:formula1>
          <xm:sqref>A2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0411-BB8F-4AB7-A5E8-7A15326D9CC7}">
  <dimension ref="A1:J13"/>
  <sheetViews>
    <sheetView workbookViewId="0">
      <selection activeCell="F13" sqref="F13"/>
    </sheetView>
  </sheetViews>
  <sheetFormatPr defaultRowHeight="14.4" x14ac:dyDescent="0.3"/>
  <cols>
    <col min="1" max="10" width="15.88671875" customWidth="1"/>
  </cols>
  <sheetData>
    <row r="1" spans="1:10" ht="28.8" x14ac:dyDescent="0.3">
      <c r="A1" s="7" t="s">
        <v>9</v>
      </c>
      <c r="B1" s="10">
        <v>1</v>
      </c>
      <c r="C1" s="13">
        <v>2</v>
      </c>
      <c r="D1" s="10">
        <v>3</v>
      </c>
      <c r="E1" s="13">
        <v>4</v>
      </c>
      <c r="F1" s="10">
        <v>5</v>
      </c>
      <c r="G1" s="13">
        <v>6</v>
      </c>
      <c r="H1" s="10">
        <v>7</v>
      </c>
      <c r="I1" s="13">
        <v>8</v>
      </c>
      <c r="J1" s="16">
        <v>9</v>
      </c>
    </row>
    <row r="2" spans="1:10" ht="28.8" x14ac:dyDescent="0.3">
      <c r="A2" s="8" t="s">
        <v>10</v>
      </c>
      <c r="B2" s="11" t="s">
        <v>0</v>
      </c>
      <c r="C2" s="14" t="s">
        <v>1</v>
      </c>
      <c r="D2" s="11" t="s">
        <v>2</v>
      </c>
      <c r="E2" s="14" t="s">
        <v>3</v>
      </c>
      <c r="F2" s="11" t="s">
        <v>4</v>
      </c>
      <c r="G2" s="14" t="s">
        <v>5</v>
      </c>
      <c r="H2" s="11" t="s">
        <v>6</v>
      </c>
      <c r="I2" s="14" t="s">
        <v>7</v>
      </c>
      <c r="J2" s="17" t="s">
        <v>8</v>
      </c>
    </row>
    <row r="3" spans="1:10" x14ac:dyDescent="0.3">
      <c r="A3" s="8" t="s">
        <v>11</v>
      </c>
      <c r="B3" s="11">
        <v>19.989999999999998</v>
      </c>
      <c r="C3" s="14">
        <v>29.99</v>
      </c>
      <c r="D3" s="11">
        <v>49.99</v>
      </c>
      <c r="E3" s="14">
        <v>99.99</v>
      </c>
      <c r="F3" s="11">
        <v>9.99</v>
      </c>
      <c r="G3" s="14">
        <v>59.99</v>
      </c>
      <c r="H3" s="11">
        <v>39.99</v>
      </c>
      <c r="I3" s="14">
        <v>199.99</v>
      </c>
      <c r="J3" s="17">
        <v>24.99</v>
      </c>
    </row>
    <row r="4" spans="1:10" ht="28.8" x14ac:dyDescent="0.3">
      <c r="A4" s="9" t="s">
        <v>12</v>
      </c>
      <c r="B4" s="12">
        <v>150</v>
      </c>
      <c r="C4" s="15">
        <v>200</v>
      </c>
      <c r="D4" s="12">
        <v>100</v>
      </c>
      <c r="E4" s="15">
        <v>75</v>
      </c>
      <c r="F4" s="12">
        <v>300</v>
      </c>
      <c r="G4" s="15">
        <v>50</v>
      </c>
      <c r="H4" s="12">
        <v>120</v>
      </c>
      <c r="I4" s="15">
        <v>25</v>
      </c>
      <c r="J4" s="18">
        <v>220</v>
      </c>
    </row>
    <row r="12" spans="1:10" x14ac:dyDescent="0.3">
      <c r="D12" s="8" t="s">
        <v>10</v>
      </c>
      <c r="E12" s="8" t="s">
        <v>11</v>
      </c>
      <c r="F12" s="9" t="s">
        <v>12</v>
      </c>
    </row>
    <row r="13" spans="1:10" x14ac:dyDescent="0.3">
      <c r="D13" s="11" t="s">
        <v>0</v>
      </c>
      <c r="E13">
        <f>HLOOKUP(D13,A2:J4,2,FALSE)</f>
        <v>19.989999999999998</v>
      </c>
      <c r="F13">
        <f>HLOOKUP(D13,B2:K4,3,FALSE)</f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A058-EAD8-448D-950C-48AC4F090CBA}">
  <dimension ref="A1:J11"/>
  <sheetViews>
    <sheetView workbookViewId="0">
      <selection activeCell="I6" sqref="I6"/>
    </sheetView>
  </sheetViews>
  <sheetFormatPr defaultRowHeight="14.4" x14ac:dyDescent="0.3"/>
  <cols>
    <col min="1" max="4" width="15.44140625" customWidth="1"/>
    <col min="8" max="8" width="11.33203125" bestFit="1" customWidth="1"/>
  </cols>
  <sheetData>
    <row r="1" spans="1:10" ht="28.8" x14ac:dyDescent="0.3">
      <c r="A1" s="7" t="s">
        <v>9</v>
      </c>
      <c r="B1" s="8" t="s">
        <v>10</v>
      </c>
      <c r="C1" s="8" t="s">
        <v>11</v>
      </c>
      <c r="D1" s="9" t="s">
        <v>12</v>
      </c>
    </row>
    <row r="2" spans="1:10" x14ac:dyDescent="0.3">
      <c r="A2" s="10">
        <v>1</v>
      </c>
      <c r="B2" s="11" t="s">
        <v>0</v>
      </c>
      <c r="C2" s="11">
        <v>19.989999999999998</v>
      </c>
      <c r="D2" s="12">
        <v>150</v>
      </c>
    </row>
    <row r="3" spans="1:10" x14ac:dyDescent="0.3">
      <c r="A3" s="13">
        <v>2</v>
      </c>
      <c r="B3" s="14" t="s">
        <v>1</v>
      </c>
      <c r="C3" s="14">
        <v>29.99</v>
      </c>
      <c r="D3" s="15">
        <v>200</v>
      </c>
    </row>
    <row r="4" spans="1:10" x14ac:dyDescent="0.3">
      <c r="A4" s="10">
        <v>3</v>
      </c>
      <c r="B4" s="11" t="s">
        <v>2</v>
      </c>
      <c r="C4" s="11">
        <v>49.99</v>
      </c>
      <c r="D4" s="12">
        <v>100</v>
      </c>
    </row>
    <row r="5" spans="1:10" ht="28.8" x14ac:dyDescent="0.3">
      <c r="A5" s="13">
        <v>4</v>
      </c>
      <c r="B5" s="14" t="s">
        <v>3</v>
      </c>
      <c r="C5" s="14">
        <v>99.99</v>
      </c>
      <c r="D5" s="15">
        <v>75</v>
      </c>
    </row>
    <row r="6" spans="1:10" x14ac:dyDescent="0.3">
      <c r="A6" s="10">
        <v>5</v>
      </c>
      <c r="B6" s="11" t="s">
        <v>4</v>
      </c>
      <c r="C6" s="11">
        <v>9.99</v>
      </c>
      <c r="D6" s="12">
        <v>300</v>
      </c>
      <c r="H6" t="str">
        <f>INDEX(A2:D10,7,2)</f>
        <v>Equipment G</v>
      </c>
      <c r="I6">
        <f>INDEX(A2:D10,7,3)</f>
        <v>39.99</v>
      </c>
      <c r="J6">
        <f>INDEX(A2:D10,7,4)</f>
        <v>120</v>
      </c>
    </row>
    <row r="7" spans="1:10" ht="28.8" x14ac:dyDescent="0.3">
      <c r="A7" s="13">
        <v>6</v>
      </c>
      <c r="B7" s="14" t="s">
        <v>5</v>
      </c>
      <c r="C7" s="14">
        <v>59.99</v>
      </c>
      <c r="D7" s="15">
        <v>50</v>
      </c>
    </row>
    <row r="8" spans="1:10" ht="28.8" x14ac:dyDescent="0.3">
      <c r="A8" s="10">
        <v>7</v>
      </c>
      <c r="B8" s="11" t="s">
        <v>6</v>
      </c>
      <c r="C8" s="11">
        <v>39.99</v>
      </c>
      <c r="D8" s="12">
        <v>120</v>
      </c>
    </row>
    <row r="9" spans="1:10" ht="28.8" x14ac:dyDescent="0.3">
      <c r="A9" s="13">
        <v>8</v>
      </c>
      <c r="B9" s="14" t="s">
        <v>7</v>
      </c>
      <c r="C9" s="14">
        <v>199.99</v>
      </c>
      <c r="D9" s="15">
        <v>25</v>
      </c>
      <c r="G9" t="s">
        <v>13</v>
      </c>
      <c r="H9" t="s">
        <v>64</v>
      </c>
      <c r="J9" t="s">
        <v>65</v>
      </c>
    </row>
    <row r="10" spans="1:10" ht="28.8" x14ac:dyDescent="0.3">
      <c r="A10" s="16">
        <v>9</v>
      </c>
      <c r="B10" s="17" t="s">
        <v>8</v>
      </c>
      <c r="C10" s="17">
        <v>24.99</v>
      </c>
      <c r="D10" s="18">
        <v>220</v>
      </c>
      <c r="G10">
        <v>4</v>
      </c>
      <c r="H10">
        <v>3</v>
      </c>
      <c r="J10" cm="1">
        <f t="array" ref="J10">INDEX(A2:D10,G10,H10)</f>
        <v>99.99</v>
      </c>
    </row>
    <row r="11" spans="1:10" x14ac:dyDescent="0.3">
      <c r="J11" t="str" cm="1">
        <f t="array" ref="J11">INDEX(B2:B10,G10)</f>
        <v>Appliance 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Topics</vt:lpstr>
      <vt:lpstr>Vlookup</vt:lpstr>
      <vt:lpstr>Hlookup</vt:lpstr>
      <vt:lpstr>Index</vt:lpstr>
      <vt:lpstr>Match</vt:lpstr>
      <vt:lpstr>Index and match</vt:lpstr>
      <vt:lpstr>Indirect</vt:lpstr>
      <vt:lpstr>Sheet1</vt:lpstr>
      <vt:lpstr>Sheet2</vt:lpstr>
      <vt:lpstr>Sheet4</vt:lpstr>
      <vt:lpstr>Vlookup practice</vt:lpstr>
      <vt:lpstr>Sheet5</vt:lpstr>
      <vt:lpstr>Index And Match practice</vt:lpstr>
      <vt:lpstr>Abhilasha</vt:lpstr>
      <vt:lpstr>Akhil</vt:lpstr>
      <vt:lpstr>Atharav</vt:lpstr>
      <vt:lpstr>Jaffar</vt:lpstr>
      <vt:lpstr>Mohan</vt:lpstr>
      <vt:lpstr>Pooja</vt:lpstr>
      <vt:lpstr>Price</vt:lpstr>
      <vt:lpstr>StockQuantity</vt:lpstr>
      <vt:lpstr>Sheet2!Subject</vt:lpstr>
      <vt:lpstr>Subject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Mumbai</dc:creator>
  <cp:lastModifiedBy>akhilesh nishad</cp:lastModifiedBy>
  <dcterms:created xsi:type="dcterms:W3CDTF">2024-07-23T07:48:31Z</dcterms:created>
  <dcterms:modified xsi:type="dcterms:W3CDTF">2025-06-02T17:10:32Z</dcterms:modified>
</cp:coreProperties>
</file>