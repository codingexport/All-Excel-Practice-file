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rnj\OneDrive\Desktop\SANDUR Training Data\"/>
    </mc:Choice>
  </mc:AlternateContent>
  <xr:revisionPtr revIDLastSave="0" documentId="13_ncr:1_{6862F4CC-043C-4D2C-B670-191231443A92}" xr6:coauthVersionLast="47" xr6:coauthVersionMax="47" xr10:uidLastSave="{00000000-0000-0000-0000-000000000000}"/>
  <bookViews>
    <workbookView xWindow="-108" yWindow="-108" windowWidth="23256" windowHeight="12456" tabRatio="739" xr2:uid="{32A42AD9-9A41-4DF7-AE67-09A846DF1587}"/>
  </bookViews>
  <sheets>
    <sheet name="Logical" sheetId="5" r:id="rId1"/>
    <sheet name="Data Validation" sheetId="6" r:id="rId2"/>
    <sheet name="Sort &amp; Filter" sheetId="1" r:id="rId3"/>
    <sheet name="Horizontal Sorting" sheetId="2" r:id="rId4"/>
    <sheet name="Sort &amp; Filter BY Color" sheetId="3" r:id="rId5"/>
    <sheet name="Unique Record Only" sheetId="4" r:id="rId6"/>
  </sheets>
  <externalReferences>
    <externalReference r:id="rId7"/>
  </externalReferences>
  <definedNames>
    <definedName name="_xlnm._FilterDatabase" localSheetId="1" hidden="1">'Data Validation'!$G$1:$G$21</definedName>
    <definedName name="_xlnm._FilterDatabase" localSheetId="2" hidden="1">'Sort &amp; Filter'!$G$1:$G$21</definedName>
    <definedName name="_xlnm._FilterDatabase" localSheetId="4" hidden="1">'Sort &amp; Filter BY Color'!$A$3:$K$23</definedName>
    <definedName name="_xlnm._FilterDatabase" localSheetId="5" hidden="1">'Unique Record Only'!$A$1:$K$48</definedName>
    <definedName name="_xlnm.Extract" localSheetId="1">'Data Validation'!#REF!</definedName>
    <definedName name="_xlnm.Extract" localSheetId="2">'Sort &amp; Filter'!#REF!</definedName>
    <definedName name="_xlnm.Extract" localSheetId="5">'Unique Record Only'!$N$1:$X$1</definedName>
    <definedName name="SALARY">[1]INDIRECT!$G$2:$G$21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5" l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" i="5"/>
  <c r="T2" i="5" a="1"/>
  <c r="T2" i="5" s="1"/>
  <c r="T3" i="5" a="1"/>
  <c r="T3" i="5" s="1"/>
  <c r="T4" i="5" a="1"/>
  <c r="T4" i="5" s="1"/>
  <c r="T5" i="5" a="1"/>
  <c r="T5" i="5" s="1"/>
  <c r="T6" i="5" a="1"/>
  <c r="T6" i="5" s="1"/>
  <c r="T7" i="5" a="1"/>
  <c r="T7" i="5" s="1"/>
  <c r="T8" i="5" a="1"/>
  <c r="T8" i="5" s="1"/>
  <c r="T9" i="5" a="1"/>
  <c r="T9" i="5" s="1"/>
  <c r="T10" i="5" a="1"/>
  <c r="T10" i="5"/>
  <c r="T11" i="5" a="1"/>
  <c r="T11" i="5" s="1"/>
  <c r="T12" i="5" a="1"/>
  <c r="T12" i="5"/>
  <c r="T13" i="5" a="1"/>
  <c r="T13" i="5" s="1"/>
  <c r="T14" i="5" a="1"/>
  <c r="T14" i="5" s="1"/>
  <c r="T15" i="5" a="1"/>
  <c r="T15" i="5" s="1"/>
  <c r="T16" i="5" a="1"/>
  <c r="T16" i="5" s="1"/>
  <c r="T17" i="5" a="1"/>
  <c r="T17" i="5" s="1"/>
  <c r="T18" i="5" a="1"/>
  <c r="T18" i="5"/>
  <c r="T19" i="5" a="1"/>
  <c r="T19" i="5" s="1"/>
  <c r="T20" i="5" a="1"/>
  <c r="T20" i="5"/>
  <c r="T21" i="5" a="1"/>
  <c r="T21" i="5" s="1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H3" i="5"/>
  <c r="I3" i="5" s="1"/>
  <c r="Z3" i="5" s="1"/>
  <c r="H4" i="5"/>
  <c r="H5" i="5"/>
  <c r="H6" i="5"/>
  <c r="I6" i="5" s="1"/>
  <c r="H7" i="5"/>
  <c r="I7" i="5" s="1"/>
  <c r="Z7" i="5" s="1"/>
  <c r="H8" i="5"/>
  <c r="H9" i="5"/>
  <c r="H10" i="5"/>
  <c r="I10" i="5" s="1"/>
  <c r="H11" i="5"/>
  <c r="I11" i="5" s="1"/>
  <c r="Z11" i="5" s="1"/>
  <c r="H12" i="5"/>
  <c r="H13" i="5"/>
  <c r="H14" i="5"/>
  <c r="I14" i="5" s="1"/>
  <c r="H15" i="5"/>
  <c r="I15" i="5" s="1"/>
  <c r="Z15" i="5" s="1"/>
  <c r="H16" i="5"/>
  <c r="H17" i="5"/>
  <c r="H18" i="5"/>
  <c r="I18" i="5" s="1"/>
  <c r="H19" i="5"/>
  <c r="I19" i="5" s="1"/>
  <c r="Z19" i="5" s="1"/>
  <c r="H20" i="5"/>
  <c r="H21" i="5"/>
  <c r="H2" i="5"/>
  <c r="I2" i="5" s="1"/>
  <c r="H24" i="5"/>
  <c r="I24" i="5"/>
  <c r="Z13" i="5" l="1"/>
  <c r="Z12" i="5"/>
  <c r="AB19" i="5"/>
  <c r="AA19" i="5"/>
  <c r="AA15" i="5"/>
  <c r="AB15" i="5"/>
  <c r="AB11" i="5"/>
  <c r="AA11" i="5"/>
  <c r="AB7" i="5"/>
  <c r="AA7" i="5"/>
  <c r="AB3" i="5"/>
  <c r="AA3" i="5"/>
  <c r="I21" i="5"/>
  <c r="Z21" i="5" s="1"/>
  <c r="I17" i="5"/>
  <c r="Z17" i="5" s="1"/>
  <c r="I13" i="5"/>
  <c r="I9" i="5"/>
  <c r="Z9" i="5" s="1"/>
  <c r="I5" i="5"/>
  <c r="Z5" i="5" s="1"/>
  <c r="Z2" i="5"/>
  <c r="Z18" i="5"/>
  <c r="Z14" i="5"/>
  <c r="Z10" i="5"/>
  <c r="Z6" i="5"/>
  <c r="I20" i="5"/>
  <c r="Z20" i="5" s="1"/>
  <c r="I16" i="5"/>
  <c r="Z16" i="5" s="1"/>
  <c r="I12" i="5"/>
  <c r="I8" i="5"/>
  <c r="Z8" i="5" s="1"/>
  <c r="I4" i="5"/>
  <c r="Z4" i="5" s="1"/>
  <c r="AB9" i="5" l="1"/>
  <c r="AA9" i="5"/>
  <c r="AB20" i="5"/>
  <c r="AA20" i="5"/>
  <c r="AB8" i="5"/>
  <c r="AA8" i="5"/>
  <c r="AB17" i="5"/>
  <c r="AA17" i="5"/>
  <c r="AB16" i="5"/>
  <c r="AA16" i="5"/>
  <c r="AB4" i="5"/>
  <c r="AA4" i="5"/>
  <c r="AB5" i="5"/>
  <c r="AA5" i="5"/>
  <c r="AB21" i="5"/>
  <c r="AA21" i="5"/>
  <c r="AB14" i="5"/>
  <c r="AA14" i="5"/>
  <c r="AB12" i="5"/>
  <c r="AA12" i="5"/>
  <c r="AB18" i="5"/>
  <c r="AA18" i="5"/>
  <c r="AB6" i="5"/>
  <c r="AA6" i="5"/>
  <c r="AB2" i="5"/>
  <c r="AA2" i="5"/>
  <c r="AB13" i="5"/>
  <c r="AA13" i="5"/>
  <c r="AB10" i="5"/>
  <c r="AA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<sst xmlns="http://schemas.openxmlformats.org/spreadsheetml/2006/main" count="712" uniqueCount="108">
  <si>
    <t>Emp Code</t>
  </si>
  <si>
    <t>Employee Name</t>
  </si>
  <si>
    <t>Address</t>
  </si>
  <si>
    <t>City</t>
  </si>
  <si>
    <t>Region</t>
  </si>
  <si>
    <t>Gender</t>
  </si>
  <si>
    <t>Department</t>
  </si>
  <si>
    <t>Basic</t>
  </si>
  <si>
    <t>DOJ</t>
  </si>
  <si>
    <t>DOB</t>
  </si>
  <si>
    <t>Age</t>
  </si>
  <si>
    <t>E001</t>
  </si>
  <si>
    <t>JP Kumar</t>
  </si>
  <si>
    <t>Andheri (W)</t>
  </si>
  <si>
    <t>mumbai</t>
  </si>
  <si>
    <t>W</t>
  </si>
  <si>
    <t>Male</t>
  </si>
  <si>
    <t>Training</t>
  </si>
  <si>
    <t>E</t>
  </si>
  <si>
    <t>E002</t>
  </si>
  <si>
    <t>Anjali Thakur</t>
  </si>
  <si>
    <t>Govindpuri</t>
  </si>
  <si>
    <t>Delhi</t>
  </si>
  <si>
    <t>N</t>
  </si>
  <si>
    <t>Female</t>
  </si>
  <si>
    <t>Accounts</t>
  </si>
  <si>
    <t>E003</t>
  </si>
  <si>
    <t>Priya Agarwal</t>
  </si>
  <si>
    <t>Sector 9</t>
  </si>
  <si>
    <t>Noida</t>
  </si>
  <si>
    <t>Marketing</t>
  </si>
  <si>
    <t>E004</t>
  </si>
  <si>
    <t>R Vasu</t>
  </si>
  <si>
    <t>Egmore</t>
  </si>
  <si>
    <t>Chennai</t>
  </si>
  <si>
    <t>S</t>
  </si>
  <si>
    <t>R&amp;D</t>
  </si>
  <si>
    <t>E005</t>
  </si>
  <si>
    <t>Sanjay Gupta</t>
  </si>
  <si>
    <t>M.G Road</t>
  </si>
  <si>
    <t>E006</t>
  </si>
  <si>
    <t>Jharna Biswal</t>
  </si>
  <si>
    <t>Link Road</t>
  </si>
  <si>
    <t>Cuttack</t>
  </si>
  <si>
    <t>E007</t>
  </si>
  <si>
    <t>Prakash Dutta</t>
  </si>
  <si>
    <t>Elgin Road</t>
  </si>
  <si>
    <t>Kolkata</t>
  </si>
  <si>
    <t>E008</t>
  </si>
  <si>
    <t>Manisha Guha</t>
  </si>
  <si>
    <t>Alipore</t>
  </si>
  <si>
    <t>E009</t>
  </si>
  <si>
    <t>Arjun Jain</t>
  </si>
  <si>
    <t>MG Road</t>
  </si>
  <si>
    <t>Mumbai</t>
  </si>
  <si>
    <t>E010</t>
  </si>
  <si>
    <t>Arjun Kapoor</t>
  </si>
  <si>
    <t>North Road</t>
  </si>
  <si>
    <t>Bangalore</t>
  </si>
  <si>
    <t>E011</t>
  </si>
  <si>
    <t>Abrar Khan</t>
  </si>
  <si>
    <t>Jayanagar</t>
  </si>
  <si>
    <t>E012</t>
  </si>
  <si>
    <t>Shahid Khan</t>
  </si>
  <si>
    <t>Mangalore</t>
  </si>
  <si>
    <t>E013</t>
  </si>
  <si>
    <t>Anupam Mishra</t>
  </si>
  <si>
    <t>Mysore</t>
  </si>
  <si>
    <t>E014</t>
  </si>
  <si>
    <t>Ashwini C</t>
  </si>
  <si>
    <t>E015</t>
  </si>
  <si>
    <t>Prateek Babbar</t>
  </si>
  <si>
    <t>E016</t>
  </si>
  <si>
    <t>Sukanya Reddy</t>
  </si>
  <si>
    <t>E017</t>
  </si>
  <si>
    <t>Satish Puri</t>
  </si>
  <si>
    <t>Bandra</t>
  </si>
  <si>
    <t>Operation</t>
  </si>
  <si>
    <t>E018</t>
  </si>
  <si>
    <t>Anjum Chopra</t>
  </si>
  <si>
    <t>Worli</t>
  </si>
  <si>
    <t>E019</t>
  </si>
  <si>
    <t>Akram Khan</t>
  </si>
  <si>
    <t>S P B Road</t>
  </si>
  <si>
    <t>Pune</t>
  </si>
  <si>
    <t>E020</t>
  </si>
  <si>
    <t>Manish Grover</t>
  </si>
  <si>
    <t>L L R Road</t>
  </si>
  <si>
    <t>DA</t>
  </si>
  <si>
    <t>HRA</t>
  </si>
  <si>
    <t>TA</t>
  </si>
  <si>
    <t>PF</t>
  </si>
  <si>
    <t>Bonus</t>
  </si>
  <si>
    <t>Incentive</t>
  </si>
  <si>
    <t>Overtime</t>
  </si>
  <si>
    <t>P.Tax</t>
  </si>
  <si>
    <t>CCA</t>
  </si>
  <si>
    <t>Special Allowance</t>
  </si>
  <si>
    <t>Gross Salary</t>
  </si>
  <si>
    <t>Net Salary</t>
  </si>
  <si>
    <t>Annual Salary</t>
  </si>
  <si>
    <t>P.Tax on Basic</t>
  </si>
  <si>
    <t>&lt;5000</t>
  </si>
  <si>
    <t>&gt;=5000 &amp; &lt;=10000</t>
  </si>
  <si>
    <t>&gt;10000 &amp; &lt;=15000</t>
  </si>
  <si>
    <t>&gt;15000 &amp; &lt;=20000</t>
  </si>
  <si>
    <t>&gt;20000</t>
  </si>
  <si>
    <t>30%*Basic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</si>
</sst>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;[Red]&quot;₹&quot;\ #,##0.00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" fontId="0" fillId="0" borderId="1" xfId="1" applyNumberFormat="1" applyFont="1" applyBorder="1"/>
    <xf numFmtId="14" fontId="0" fillId="0" borderId="1" xfId="0" applyNumberFormat="1" applyBorder="1"/>
    <xf numFmtId="3" fontId="0" fillId="0" borderId="1" xfId="0" applyNumberFormat="1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  <xf numFmtId="0" fontId="4" fillId="0" borderId="1" xfId="0" applyFont="1" applyBorder="1"/>
    <xf numFmtId="0" fontId="0" fillId="4" borderId="1" xfId="0" applyFill="1" applyBorder="1"/>
    <xf numFmtId="0" fontId="5" fillId="0" borderId="1" xfId="0" applyFont="1" applyBorder="1"/>
    <xf numFmtId="0" fontId="0" fillId="5" borderId="1" xfId="0" applyFill="1" applyBorder="1"/>
    <xf numFmtId="0" fontId="3" fillId="0" borderId="0" xfId="0" applyFont="1"/>
    <xf numFmtId="165" fontId="0" fillId="0" borderId="1" xfId="1" applyNumberFormat="1" applyFont="1" applyBorder="1"/>
    <xf numFmtId="0" fontId="0" fillId="7" borderId="4" xfId="0" applyFill="1" applyBorder="1"/>
    <xf numFmtId="0" fontId="0" fillId="7" borderId="5" xfId="0" applyFill="1" applyBorder="1"/>
    <xf numFmtId="0" fontId="0" fillId="7" borderId="0" xfId="0" applyFill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14" fontId="0" fillId="0" borderId="0" xfId="0" applyNumberFormat="1"/>
    <xf numFmtId="3" fontId="0" fillId="0" borderId="0" xfId="0" applyNumberFormat="1"/>
    <xf numFmtId="4" fontId="0" fillId="0" borderId="1" xfId="0" applyNumberFormat="1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drnj\OneDrive\Desktop\Master%20Data\Basic.xlsx" TargetMode="External"/><Relationship Id="rId1" Type="http://schemas.openxmlformats.org/officeDocument/2006/relationships/externalLinkPath" Target="file:///C:\Users\ddrnj\OneDrive\Desktop\Master%20Data\Bas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tion"/>
      <sheetName val="Day-1"/>
      <sheetName val="Transpose"/>
      <sheetName val="Paste Link"/>
      <sheetName val="Skip Blank"/>
      <sheetName val="Paste Special Operations"/>
      <sheetName val="IFS Functions"/>
      <sheetName val="Database"/>
      <sheetName val="Math &amp; Trigo"/>
      <sheetName val="Referencing"/>
      <sheetName val="Mixed Referencing"/>
      <sheetName val="Naming Range"/>
      <sheetName val="Flash Fill"/>
      <sheetName val="Fill Series"/>
      <sheetName val="Date &amp; Time"/>
      <sheetName val="SUMPRODUCT"/>
      <sheetName val="Information"/>
      <sheetName val="Text To Column"/>
      <sheetName val="INDIRECT"/>
      <sheetName val="Subtotal"/>
      <sheetName val="Copy Visible Cell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G2">
            <v>10000</v>
          </cell>
        </row>
        <row r="3">
          <cell r="G3">
            <v>12000</v>
          </cell>
        </row>
        <row r="4">
          <cell r="G4">
            <v>11250</v>
          </cell>
        </row>
        <row r="5">
          <cell r="G5">
            <v>12000</v>
          </cell>
        </row>
        <row r="6">
          <cell r="G6">
            <v>12000</v>
          </cell>
        </row>
        <row r="7">
          <cell r="G7">
            <v>6400</v>
          </cell>
        </row>
        <row r="8">
          <cell r="G8">
            <v>4500</v>
          </cell>
        </row>
        <row r="9">
          <cell r="G9">
            <v>6250</v>
          </cell>
        </row>
        <row r="10">
          <cell r="G10">
            <v>6250</v>
          </cell>
        </row>
        <row r="11">
          <cell r="G11">
            <v>8750</v>
          </cell>
        </row>
        <row r="12">
          <cell r="G12">
            <v>11250</v>
          </cell>
        </row>
        <row r="13">
          <cell r="G13">
            <v>10000</v>
          </cell>
        </row>
        <row r="14">
          <cell r="G14">
            <v>16250</v>
          </cell>
        </row>
        <row r="15">
          <cell r="G15">
            <v>6400</v>
          </cell>
        </row>
        <row r="16">
          <cell r="G16">
            <v>4500</v>
          </cell>
        </row>
        <row r="17">
          <cell r="G17">
            <v>6275</v>
          </cell>
        </row>
        <row r="18">
          <cell r="G18">
            <v>6250</v>
          </cell>
        </row>
        <row r="19">
          <cell r="G19">
            <v>8750</v>
          </cell>
        </row>
        <row r="20">
          <cell r="G20">
            <v>11000</v>
          </cell>
        </row>
        <row r="21">
          <cell r="G21">
            <v>10000</v>
          </cell>
        </row>
      </sheetData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518B-7458-480A-83B3-D39DA1DBF857}">
  <dimension ref="A1:AF40"/>
  <sheetViews>
    <sheetView showGridLines="0" tabSelected="1" zoomScale="130" zoomScaleNormal="130" workbookViewId="0">
      <pane xSplit="7" topLeftCell="H1" activePane="topRight" state="frozen"/>
      <selection pane="topRight" activeCell="I10" sqref="I10"/>
    </sheetView>
  </sheetViews>
  <sheetFormatPr defaultColWidth="7.21875" defaultRowHeight="14.4" x14ac:dyDescent="0.3"/>
  <cols>
    <col min="1" max="1" width="9.5546875" customWidth="1"/>
    <col min="2" max="2" width="14.88671875" customWidth="1"/>
    <col min="3" max="3" width="10.77734375" customWidth="1"/>
    <col min="4" max="4" width="9.77734375" customWidth="1"/>
    <col min="5" max="5" width="6.77734375" customWidth="1"/>
    <col min="6" max="6" width="11.109375" customWidth="1"/>
    <col min="7" max="7" width="6.5546875" bestFit="1" customWidth="1"/>
    <col min="8" max="8" width="8.6640625" customWidth="1"/>
    <col min="9" max="9" width="13.109375" customWidth="1"/>
    <col min="10" max="12" width="5.44140625" customWidth="1"/>
    <col min="13" max="14" width="6.21875" customWidth="1"/>
    <col min="15" max="19" width="8.77734375" customWidth="1"/>
    <col min="20" max="20" width="5.5546875" customWidth="1"/>
    <col min="21" max="21" width="5.5546875" style="24" customWidth="1"/>
    <col min="22" max="23" width="5" customWidth="1"/>
    <col min="24" max="24" width="9.109375" customWidth="1"/>
    <col min="25" max="25" width="16.109375" bestFit="1" customWidth="1"/>
    <col min="26" max="26" width="11.109375" bestFit="1" customWidth="1"/>
    <col min="27" max="27" width="9.5546875" customWidth="1"/>
    <col min="28" max="28" width="12.5546875" customWidth="1"/>
    <col min="29" max="29" width="16.5546875" bestFit="1" customWidth="1"/>
    <col min="30" max="30" width="4" bestFit="1" customWidth="1"/>
    <col min="31" max="31" width="9.6640625" bestFit="1" customWidth="1"/>
    <col min="32" max="32" width="2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2" t="s">
        <v>7</v>
      </c>
      <c r="H1" s="1" t="s">
        <v>88</v>
      </c>
      <c r="I1" s="1" t="s">
        <v>89</v>
      </c>
      <c r="J1" s="1" t="s">
        <v>90</v>
      </c>
      <c r="K1" s="1" t="s">
        <v>90</v>
      </c>
      <c r="L1" s="1" t="s">
        <v>91</v>
      </c>
      <c r="M1" s="2" t="s">
        <v>92</v>
      </c>
      <c r="N1" s="2" t="s">
        <v>92</v>
      </c>
      <c r="O1" s="2" t="s">
        <v>93</v>
      </c>
      <c r="P1" s="2" t="s">
        <v>93</v>
      </c>
      <c r="Q1" s="2" t="s">
        <v>94</v>
      </c>
      <c r="R1" s="2" t="s">
        <v>94</v>
      </c>
      <c r="S1" s="2" t="s">
        <v>94</v>
      </c>
      <c r="T1" s="1" t="s">
        <v>95</v>
      </c>
      <c r="U1" s="1" t="s">
        <v>95</v>
      </c>
      <c r="V1" s="1" t="s">
        <v>96</v>
      </c>
      <c r="W1" s="1" t="s">
        <v>96</v>
      </c>
      <c r="X1" s="1" t="s">
        <v>96</v>
      </c>
      <c r="Y1" s="1" t="s">
        <v>97</v>
      </c>
      <c r="Z1" s="14" t="s">
        <v>98</v>
      </c>
      <c r="AA1" s="14" t="s">
        <v>99</v>
      </c>
      <c r="AB1" s="1" t="s">
        <v>100</v>
      </c>
    </row>
    <row r="2" spans="1:32" ht="15" thickBot="1" x14ac:dyDescent="0.35">
      <c r="A2" s="3">
        <v>1</v>
      </c>
      <c r="B2" s="3" t="s">
        <v>12</v>
      </c>
      <c r="C2" s="3" t="s">
        <v>13</v>
      </c>
      <c r="D2" s="3" t="s">
        <v>54</v>
      </c>
      <c r="E2" s="3" t="s">
        <v>15</v>
      </c>
      <c r="F2" s="3" t="s">
        <v>17</v>
      </c>
      <c r="G2" s="6">
        <v>6250</v>
      </c>
      <c r="H2" s="6">
        <f>50%*G2</f>
        <v>3125</v>
      </c>
      <c r="I2" s="6">
        <f>(G2+H2)*40%</f>
        <v>3750</v>
      </c>
      <c r="J2" s="6">
        <f>IF(F2="Marketing",5000,0)</f>
        <v>0</v>
      </c>
      <c r="K2" s="6">
        <f>IF(F2=$F$12,5000,0)</f>
        <v>0</v>
      </c>
      <c r="L2" s="6">
        <f>12%*G2</f>
        <v>750</v>
      </c>
      <c r="M2" s="6">
        <f>IF(AND(F2="Training",E2="W"),40%*G2,0)</f>
        <v>2500</v>
      </c>
      <c r="N2" s="6">
        <f>IF(AND(E2=$E$2,F2=$F$2),40%*G2,0)</f>
        <v>2500</v>
      </c>
      <c r="O2" s="3">
        <f>IF(OR(F2="Accounts",F2="Operation"),5000,0)</f>
        <v>0</v>
      </c>
      <c r="P2" s="3">
        <f>IF(OR(F2=$F$3,F2=$F$18),5000,0)</f>
        <v>0</v>
      </c>
      <c r="Q2" s="3">
        <f>IF(OR(F2="Accounts",F2="Operation"),0,3500)</f>
        <v>3500</v>
      </c>
      <c r="R2" s="6">
        <f>IF(OR(F2=$F$3,F2=$F$18),0,3500)</f>
        <v>3500</v>
      </c>
      <c r="S2" s="6">
        <f>IF(NOT(OR(F2="Accounts",F2="Operation")),3500,0)</f>
        <v>3500</v>
      </c>
      <c r="T2" s="3" cm="1">
        <f t="array" ref="T2">_xlfn.IFS(G2&lt;5000,0,G2&lt;=10000,50,G2&lt;=15000,100,G2&lt;=20000,150,G2&gt;20000,200)</f>
        <v>50</v>
      </c>
      <c r="U2" s="3">
        <f>IF(G2&lt;5000,0,IF(G2&lt;=10000,50,IF(G2&lt;=15000,100,IF(G2&lt;=20000,150,200))))</f>
        <v>50</v>
      </c>
      <c r="V2" s="3">
        <f>IF(OR(D2="Mumbai",D2="Delhi",D2="Kolkata",D2="Chennai",D2="Bangalore"),5000,0)</f>
        <v>5000</v>
      </c>
      <c r="W2" s="3">
        <f>IF(NOT(OR(D2="Mumbai",D2="Chennai",D2="Kolkata",D2="Delhi",D2="Bangalore")),0,5000)</f>
        <v>5000</v>
      </c>
      <c r="X2" s="3">
        <f>IF(OR(D2=$D$2,D2=$D$3,D2=$D$5,D2=$D$8,D2=$D$11),5000,0)</f>
        <v>5000</v>
      </c>
      <c r="Y2" s="6">
        <f>IF(OR(AND(E2="W",F2="Training"),AND(E2="S",F2="R&amp;D"),AND(E2="N",F2="Marketing"),AND(E2="E",F2="Accounts")),30%*G2,0)</f>
        <v>1875</v>
      </c>
      <c r="Z2" s="6">
        <f>SUM(G2:J2,L2:M2,P2:Q2,U2:V2,Y2)</f>
        <v>26800</v>
      </c>
      <c r="AA2" s="6">
        <f>Z2-U2-L2</f>
        <v>26000</v>
      </c>
      <c r="AB2" s="15">
        <f>Z2*12</f>
        <v>321600</v>
      </c>
    </row>
    <row r="3" spans="1:32" ht="15" thickBot="1" x14ac:dyDescent="0.35">
      <c r="A3" s="3">
        <v>2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25</v>
      </c>
      <c r="G3" s="6">
        <v>8750</v>
      </c>
      <c r="H3" s="6">
        <f t="shared" ref="H3:H21" si="0">50%*G3</f>
        <v>4375</v>
      </c>
      <c r="I3" s="6">
        <f t="shared" ref="I3:I21" si="1">(G3+H3)*40%</f>
        <v>5250</v>
      </c>
      <c r="J3" s="6">
        <f t="shared" ref="J3:J21" si="2">IF(F3="Marketing",5000,0)</f>
        <v>0</v>
      </c>
      <c r="K3" s="6">
        <f t="shared" ref="K3:K21" si="3">IF(F3=$F$12,5000,0)</f>
        <v>0</v>
      </c>
      <c r="L3" s="6">
        <f t="shared" ref="L3:L21" si="4">12%*G3</f>
        <v>1050</v>
      </c>
      <c r="M3" s="6">
        <f t="shared" ref="M3:M21" si="5">IF(AND(F3="Training",E3="W"),40%*G3,0)</f>
        <v>0</v>
      </c>
      <c r="N3" s="6">
        <f t="shared" ref="N3:N21" si="6">IF(AND(E3=$E$2,F3=$F$2),40%*G3,0)</f>
        <v>0</v>
      </c>
      <c r="O3" s="3">
        <f t="shared" ref="O3:O21" si="7">IF(OR(F3="Accounts",F3="Operation"),5000,0)</f>
        <v>5000</v>
      </c>
      <c r="P3" s="3">
        <f t="shared" ref="P3:P21" si="8">IF(OR(F3=$F$3,F3=$F$18),5000,0)</f>
        <v>5000</v>
      </c>
      <c r="Q3" s="3">
        <f t="shared" ref="Q3:Q21" si="9">IF(OR(F3="Accounts",F3="Operation"),0,3500)</f>
        <v>0</v>
      </c>
      <c r="R3" s="6">
        <f t="shared" ref="R3:R21" si="10">IF(OR(F3=$F$3,F3=$F$18),0,3500)</f>
        <v>0</v>
      </c>
      <c r="S3" s="6">
        <f t="shared" ref="S3:S21" si="11">IF(NOT(OR(F3="Accounts",F3="Operation")),3500,0)</f>
        <v>0</v>
      </c>
      <c r="T3" s="3" cm="1">
        <f t="array" ref="T3">_xlfn.IFS(G3&lt;5000,0,G3&lt;=10000,50,G3&lt;=15000,100,G3&lt;=20000,150,G3&gt;20000,200)</f>
        <v>50</v>
      </c>
      <c r="U3" s="3">
        <f t="shared" ref="U3:U21" si="12">IF(G3&lt;5000,0,IF(G3&lt;=10000,50,IF(G3&lt;=15000,100,IF(G3&lt;=20000,150,200))))</f>
        <v>50</v>
      </c>
      <c r="V3" s="3">
        <f t="shared" ref="V3:V21" si="13">IF(OR(D3="Mumbai",D3="Delhi",D3="Kolkata",D3="Chennai",D3="Bangalore"),5000,0)</f>
        <v>5000</v>
      </c>
      <c r="W3" s="3">
        <f t="shared" ref="W3:W21" si="14">IF(NOT(OR(D3="Mumbai",D3="Chennai",D3="Kolkata",D3="Delhi",D3="Bangalore")),0,5000)</f>
        <v>5000</v>
      </c>
      <c r="X3" s="3">
        <f t="shared" ref="X3:X21" si="15">IF(OR(D3=$D$2,D3=$D$3,D3=$D$5,D3=$D$8,D3=$D$11),5000,0)</f>
        <v>5000</v>
      </c>
      <c r="Y3" s="6">
        <f t="shared" ref="Y3:Y21" si="16">IF(OR(AND(E3="W",F3="Training"),AND(E3="S",F3="R&amp;D"),AND(E3="N",F3="Marketing"),AND(E3="E",F3="Accounts")),30%*G3,0)</f>
        <v>0</v>
      </c>
      <c r="Z3" s="6">
        <f t="shared" ref="Z3:Z21" si="17">SUM(G3:J3,L3:M3,P3:Q3,U3:V3,Y3)</f>
        <v>29475</v>
      </c>
      <c r="AA3" s="6">
        <f t="shared" ref="AA3:AA21" si="18">Z3-U3-L3</f>
        <v>28375</v>
      </c>
      <c r="AB3" s="15">
        <f t="shared" ref="AB3:AB21" si="19">Z3*12</f>
        <v>353700</v>
      </c>
      <c r="AC3" s="25" t="s">
        <v>101</v>
      </c>
      <c r="AD3" s="26"/>
    </row>
    <row r="4" spans="1:32" x14ac:dyDescent="0.3">
      <c r="A4" s="3">
        <v>3</v>
      </c>
      <c r="B4" s="3" t="s">
        <v>27</v>
      </c>
      <c r="C4" s="3" t="s">
        <v>28</v>
      </c>
      <c r="D4" s="3" t="s">
        <v>29</v>
      </c>
      <c r="E4" s="3" t="s">
        <v>23</v>
      </c>
      <c r="F4" s="3" t="s">
        <v>30</v>
      </c>
      <c r="G4" s="6">
        <v>11250</v>
      </c>
      <c r="H4" s="6">
        <f t="shared" si="0"/>
        <v>5625</v>
      </c>
      <c r="I4" s="6">
        <f t="shared" si="1"/>
        <v>6750</v>
      </c>
      <c r="J4" s="6">
        <f t="shared" si="2"/>
        <v>5000</v>
      </c>
      <c r="K4" s="6">
        <f t="shared" si="3"/>
        <v>5000</v>
      </c>
      <c r="L4" s="6">
        <f t="shared" si="4"/>
        <v>1350</v>
      </c>
      <c r="M4" s="6">
        <f t="shared" si="5"/>
        <v>0</v>
      </c>
      <c r="N4" s="6">
        <f t="shared" si="6"/>
        <v>0</v>
      </c>
      <c r="O4" s="3">
        <f t="shared" si="7"/>
        <v>0</v>
      </c>
      <c r="P4" s="3">
        <f t="shared" si="8"/>
        <v>0</v>
      </c>
      <c r="Q4" s="3">
        <f t="shared" si="9"/>
        <v>3500</v>
      </c>
      <c r="R4" s="6">
        <f t="shared" si="10"/>
        <v>3500</v>
      </c>
      <c r="S4" s="6">
        <f t="shared" si="11"/>
        <v>3500</v>
      </c>
      <c r="T4" s="3" cm="1">
        <f t="array" ref="T4">_xlfn.IFS(G4&lt;5000,0,G4&lt;=10000,50,G4&lt;=15000,100,G4&lt;=20000,150,G4&gt;20000,200)</f>
        <v>100</v>
      </c>
      <c r="U4" s="3">
        <f t="shared" si="12"/>
        <v>100</v>
      </c>
      <c r="V4" s="3">
        <f t="shared" si="13"/>
        <v>0</v>
      </c>
      <c r="W4" s="3">
        <f t="shared" si="14"/>
        <v>0</v>
      </c>
      <c r="X4" s="3">
        <f t="shared" si="15"/>
        <v>0</v>
      </c>
      <c r="Y4" s="6">
        <f t="shared" si="16"/>
        <v>3375</v>
      </c>
      <c r="Z4" s="6">
        <f t="shared" si="17"/>
        <v>36950</v>
      </c>
      <c r="AA4" s="6">
        <f t="shared" si="18"/>
        <v>35500</v>
      </c>
      <c r="AB4" s="15">
        <f t="shared" si="19"/>
        <v>443400</v>
      </c>
      <c r="AC4" s="16" t="s">
        <v>102</v>
      </c>
      <c r="AD4" s="17">
        <v>0</v>
      </c>
    </row>
    <row r="5" spans="1:32" x14ac:dyDescent="0.3">
      <c r="A5" s="3">
        <v>4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6">
        <v>10000</v>
      </c>
      <c r="H5" s="6">
        <f t="shared" si="0"/>
        <v>5000</v>
      </c>
      <c r="I5" s="6">
        <f t="shared" si="1"/>
        <v>6000</v>
      </c>
      <c r="J5" s="6">
        <f t="shared" si="2"/>
        <v>0</v>
      </c>
      <c r="K5" s="6">
        <f t="shared" si="3"/>
        <v>0</v>
      </c>
      <c r="L5" s="6">
        <f t="shared" si="4"/>
        <v>1200</v>
      </c>
      <c r="M5" s="6">
        <f t="shared" si="5"/>
        <v>0</v>
      </c>
      <c r="N5" s="6">
        <f t="shared" si="6"/>
        <v>0</v>
      </c>
      <c r="O5" s="3">
        <f t="shared" si="7"/>
        <v>0</v>
      </c>
      <c r="P5" s="3">
        <f t="shared" si="8"/>
        <v>0</v>
      </c>
      <c r="Q5" s="3">
        <f t="shared" si="9"/>
        <v>3500</v>
      </c>
      <c r="R5" s="6">
        <f t="shared" si="10"/>
        <v>3500</v>
      </c>
      <c r="S5" s="6">
        <f t="shared" si="11"/>
        <v>3500</v>
      </c>
      <c r="T5" s="3" cm="1">
        <f t="array" ref="T5">_xlfn.IFS(G5&lt;5000,0,G5&lt;=10000,50,G5&lt;=15000,100,G5&lt;=20000,150,G5&gt;20000,200)</f>
        <v>50</v>
      </c>
      <c r="U5" s="3">
        <f t="shared" si="12"/>
        <v>50</v>
      </c>
      <c r="V5" s="3">
        <f t="shared" si="13"/>
        <v>5000</v>
      </c>
      <c r="W5" s="3">
        <f t="shared" si="14"/>
        <v>5000</v>
      </c>
      <c r="X5" s="3">
        <f t="shared" si="15"/>
        <v>5000</v>
      </c>
      <c r="Y5" s="6">
        <f t="shared" si="16"/>
        <v>3000</v>
      </c>
      <c r="Z5" s="6">
        <f t="shared" si="17"/>
        <v>33750</v>
      </c>
      <c r="AA5" s="6">
        <f t="shared" si="18"/>
        <v>32500</v>
      </c>
      <c r="AB5" s="15">
        <f t="shared" si="19"/>
        <v>405000</v>
      </c>
      <c r="AC5" s="18" t="s">
        <v>103</v>
      </c>
      <c r="AD5" s="19">
        <v>50</v>
      </c>
    </row>
    <row r="6" spans="1:32" x14ac:dyDescent="0.3">
      <c r="A6" s="3">
        <v>5</v>
      </c>
      <c r="B6" s="3" t="s">
        <v>38</v>
      </c>
      <c r="C6" s="3" t="s">
        <v>39</v>
      </c>
      <c r="D6" s="3" t="s">
        <v>22</v>
      </c>
      <c r="E6" s="3" t="s">
        <v>23</v>
      </c>
      <c r="F6" s="3" t="s">
        <v>17</v>
      </c>
      <c r="G6" s="6">
        <v>16250</v>
      </c>
      <c r="H6" s="6">
        <f t="shared" si="0"/>
        <v>8125</v>
      </c>
      <c r="I6" s="6">
        <f t="shared" si="1"/>
        <v>9750</v>
      </c>
      <c r="J6" s="6">
        <f t="shared" si="2"/>
        <v>0</v>
      </c>
      <c r="K6" s="6">
        <f t="shared" si="3"/>
        <v>0</v>
      </c>
      <c r="L6" s="6">
        <f t="shared" si="4"/>
        <v>1950</v>
      </c>
      <c r="M6" s="6">
        <f t="shared" si="5"/>
        <v>0</v>
      </c>
      <c r="N6" s="6">
        <f t="shared" si="6"/>
        <v>0</v>
      </c>
      <c r="O6" s="3">
        <f t="shared" si="7"/>
        <v>0</v>
      </c>
      <c r="P6" s="3">
        <f t="shared" si="8"/>
        <v>0</v>
      </c>
      <c r="Q6" s="3">
        <f t="shared" si="9"/>
        <v>3500</v>
      </c>
      <c r="R6" s="6">
        <f t="shared" si="10"/>
        <v>3500</v>
      </c>
      <c r="S6" s="6">
        <f t="shared" si="11"/>
        <v>3500</v>
      </c>
      <c r="T6" s="3" cm="1">
        <f t="array" ref="T6">_xlfn.IFS(G6&lt;5000,0,G6&lt;=10000,50,G6&lt;=15000,100,G6&lt;=20000,150,G6&gt;20000,200)</f>
        <v>150</v>
      </c>
      <c r="U6" s="3">
        <f t="shared" si="12"/>
        <v>150</v>
      </c>
      <c r="V6" s="3">
        <f t="shared" si="13"/>
        <v>5000</v>
      </c>
      <c r="W6" s="3">
        <f t="shared" si="14"/>
        <v>5000</v>
      </c>
      <c r="X6" s="3">
        <f t="shared" si="15"/>
        <v>5000</v>
      </c>
      <c r="Y6" s="6">
        <f t="shared" si="16"/>
        <v>0</v>
      </c>
      <c r="Z6" s="6">
        <f t="shared" si="17"/>
        <v>44725</v>
      </c>
      <c r="AA6" s="6">
        <f t="shared" si="18"/>
        <v>42625</v>
      </c>
      <c r="AB6" s="15">
        <f t="shared" si="19"/>
        <v>536700</v>
      </c>
      <c r="AC6" s="18" t="s">
        <v>104</v>
      </c>
      <c r="AD6" s="19">
        <v>100</v>
      </c>
    </row>
    <row r="7" spans="1:32" x14ac:dyDescent="0.3">
      <c r="A7" s="3">
        <v>6</v>
      </c>
      <c r="B7" s="3" t="s">
        <v>41</v>
      </c>
      <c r="C7" s="3" t="s">
        <v>42</v>
      </c>
      <c r="D7" s="3" t="s">
        <v>43</v>
      </c>
      <c r="E7" s="3" t="s">
        <v>15</v>
      </c>
      <c r="F7" s="3" t="s">
        <v>25</v>
      </c>
      <c r="G7" s="6">
        <v>6400</v>
      </c>
      <c r="H7" s="6">
        <f t="shared" si="0"/>
        <v>3200</v>
      </c>
      <c r="I7" s="6">
        <f t="shared" si="1"/>
        <v>3840</v>
      </c>
      <c r="J7" s="6">
        <f t="shared" si="2"/>
        <v>0</v>
      </c>
      <c r="K7" s="6">
        <f t="shared" si="3"/>
        <v>0</v>
      </c>
      <c r="L7" s="6">
        <f t="shared" si="4"/>
        <v>768</v>
      </c>
      <c r="M7" s="6">
        <f t="shared" si="5"/>
        <v>0</v>
      </c>
      <c r="N7" s="6">
        <f t="shared" si="6"/>
        <v>0</v>
      </c>
      <c r="O7" s="3">
        <f t="shared" si="7"/>
        <v>5000</v>
      </c>
      <c r="P7" s="3">
        <f t="shared" si="8"/>
        <v>5000</v>
      </c>
      <c r="Q7" s="3">
        <f t="shared" si="9"/>
        <v>0</v>
      </c>
      <c r="R7" s="6">
        <f t="shared" si="10"/>
        <v>0</v>
      </c>
      <c r="S7" s="6">
        <f t="shared" si="11"/>
        <v>0</v>
      </c>
      <c r="T7" s="3" cm="1">
        <f t="array" ref="T7">_xlfn.IFS(G7&lt;5000,0,G7&lt;=10000,50,G7&lt;=15000,100,G7&lt;=20000,150,G7&gt;20000,200)</f>
        <v>50</v>
      </c>
      <c r="U7" s="3">
        <f t="shared" si="12"/>
        <v>50</v>
      </c>
      <c r="V7" s="3">
        <f t="shared" si="13"/>
        <v>0</v>
      </c>
      <c r="W7" s="3">
        <f t="shared" si="14"/>
        <v>0</v>
      </c>
      <c r="X7" s="3">
        <f t="shared" si="15"/>
        <v>0</v>
      </c>
      <c r="Y7" s="6">
        <f t="shared" si="16"/>
        <v>0</v>
      </c>
      <c r="Z7" s="6">
        <f t="shared" si="17"/>
        <v>19258</v>
      </c>
      <c r="AA7" s="6">
        <f t="shared" si="18"/>
        <v>18440</v>
      </c>
      <c r="AB7" s="15">
        <f t="shared" si="19"/>
        <v>231096</v>
      </c>
      <c r="AC7" s="18" t="s">
        <v>105</v>
      </c>
      <c r="AD7" s="19">
        <v>150</v>
      </c>
    </row>
    <row r="8" spans="1:32" ht="15" thickBot="1" x14ac:dyDescent="0.35">
      <c r="A8" s="3">
        <v>7</v>
      </c>
      <c r="B8" s="3" t="s">
        <v>45</v>
      </c>
      <c r="C8" s="3" t="s">
        <v>46</v>
      </c>
      <c r="D8" s="3" t="s">
        <v>47</v>
      </c>
      <c r="E8" s="3" t="s">
        <v>18</v>
      </c>
      <c r="F8" s="3" t="s">
        <v>30</v>
      </c>
      <c r="G8" s="6">
        <v>4500</v>
      </c>
      <c r="H8" s="6">
        <f t="shared" si="0"/>
        <v>2250</v>
      </c>
      <c r="I8" s="6">
        <f t="shared" si="1"/>
        <v>2700</v>
      </c>
      <c r="J8" s="6">
        <f t="shared" si="2"/>
        <v>5000</v>
      </c>
      <c r="K8" s="6">
        <f t="shared" si="3"/>
        <v>5000</v>
      </c>
      <c r="L8" s="6">
        <f t="shared" si="4"/>
        <v>540</v>
      </c>
      <c r="M8" s="6">
        <f t="shared" si="5"/>
        <v>0</v>
      </c>
      <c r="N8" s="6">
        <f t="shared" si="6"/>
        <v>0</v>
      </c>
      <c r="O8" s="3">
        <f t="shared" si="7"/>
        <v>0</v>
      </c>
      <c r="P8" s="3">
        <f t="shared" si="8"/>
        <v>0</v>
      </c>
      <c r="Q8" s="3">
        <f t="shared" si="9"/>
        <v>3500</v>
      </c>
      <c r="R8" s="6">
        <f t="shared" si="10"/>
        <v>3500</v>
      </c>
      <c r="S8" s="6">
        <f t="shared" si="11"/>
        <v>3500</v>
      </c>
      <c r="T8" s="3" cm="1">
        <f t="array" ref="T8">_xlfn.IFS(G8&lt;5000,0,G8&lt;=10000,50,G8&lt;=15000,100,G8&lt;=20000,150,G8&gt;20000,200)</f>
        <v>0</v>
      </c>
      <c r="U8" s="3">
        <f t="shared" si="12"/>
        <v>0</v>
      </c>
      <c r="V8" s="3">
        <f t="shared" si="13"/>
        <v>5000</v>
      </c>
      <c r="W8" s="3">
        <f t="shared" si="14"/>
        <v>5000</v>
      </c>
      <c r="X8" s="3">
        <f t="shared" si="15"/>
        <v>5000</v>
      </c>
      <c r="Y8" s="6">
        <f t="shared" si="16"/>
        <v>0</v>
      </c>
      <c r="Z8" s="6">
        <f t="shared" si="17"/>
        <v>23490</v>
      </c>
      <c r="AA8" s="6">
        <f t="shared" si="18"/>
        <v>22950</v>
      </c>
      <c r="AB8" s="15">
        <f t="shared" si="19"/>
        <v>281880</v>
      </c>
      <c r="AC8" s="20" t="s">
        <v>106</v>
      </c>
      <c r="AD8" s="21">
        <v>200</v>
      </c>
    </row>
    <row r="9" spans="1:32" x14ac:dyDescent="0.3">
      <c r="A9" s="3">
        <v>8</v>
      </c>
      <c r="B9" s="3" t="s">
        <v>49</v>
      </c>
      <c r="C9" s="3" t="s">
        <v>50</v>
      </c>
      <c r="D9" s="3" t="s">
        <v>47</v>
      </c>
      <c r="E9" s="3" t="s">
        <v>18</v>
      </c>
      <c r="F9" s="3" t="s">
        <v>36</v>
      </c>
      <c r="G9" s="6">
        <v>6275</v>
      </c>
      <c r="H9" s="6">
        <f t="shared" si="0"/>
        <v>3137.5</v>
      </c>
      <c r="I9" s="6">
        <f t="shared" si="1"/>
        <v>3765</v>
      </c>
      <c r="J9" s="6">
        <f t="shared" si="2"/>
        <v>0</v>
      </c>
      <c r="K9" s="6">
        <f t="shared" si="3"/>
        <v>0</v>
      </c>
      <c r="L9" s="6">
        <f t="shared" si="4"/>
        <v>753</v>
      </c>
      <c r="M9" s="6">
        <f t="shared" si="5"/>
        <v>0</v>
      </c>
      <c r="N9" s="6">
        <f t="shared" si="6"/>
        <v>0</v>
      </c>
      <c r="O9" s="3">
        <f t="shared" si="7"/>
        <v>0</v>
      </c>
      <c r="P9" s="3">
        <f t="shared" si="8"/>
        <v>0</v>
      </c>
      <c r="Q9" s="3">
        <f t="shared" si="9"/>
        <v>3500</v>
      </c>
      <c r="R9" s="6">
        <f t="shared" si="10"/>
        <v>3500</v>
      </c>
      <c r="S9" s="6">
        <f t="shared" si="11"/>
        <v>3500</v>
      </c>
      <c r="T9" s="3" cm="1">
        <f t="array" ref="T9">_xlfn.IFS(G9&lt;5000,0,G9&lt;=10000,50,G9&lt;=15000,100,G9&lt;=20000,150,G9&gt;20000,200)</f>
        <v>50</v>
      </c>
      <c r="U9" s="3">
        <f t="shared" si="12"/>
        <v>50</v>
      </c>
      <c r="V9" s="3">
        <f t="shared" si="13"/>
        <v>5000</v>
      </c>
      <c r="W9" s="3">
        <f t="shared" si="14"/>
        <v>5000</v>
      </c>
      <c r="X9" s="3">
        <f t="shared" si="15"/>
        <v>5000</v>
      </c>
      <c r="Y9" s="6">
        <f t="shared" si="16"/>
        <v>0</v>
      </c>
      <c r="Z9" s="6">
        <f t="shared" si="17"/>
        <v>22480.5</v>
      </c>
      <c r="AA9" s="6">
        <f t="shared" si="18"/>
        <v>21677.5</v>
      </c>
      <c r="AB9" s="15">
        <f t="shared" si="19"/>
        <v>269766</v>
      </c>
    </row>
    <row r="10" spans="1:32" ht="15" thickBot="1" x14ac:dyDescent="0.35">
      <c r="A10" s="3">
        <v>9</v>
      </c>
      <c r="B10" s="3" t="s">
        <v>52</v>
      </c>
      <c r="C10" s="3" t="s">
        <v>53</v>
      </c>
      <c r="D10" s="3" t="s">
        <v>54</v>
      </c>
      <c r="E10" s="3" t="s">
        <v>15</v>
      </c>
      <c r="F10" s="3" t="s">
        <v>17</v>
      </c>
      <c r="G10" s="6">
        <v>9500</v>
      </c>
      <c r="H10" s="6">
        <f t="shared" si="0"/>
        <v>4750</v>
      </c>
      <c r="I10" s="6">
        <f t="shared" si="1"/>
        <v>5700</v>
      </c>
      <c r="J10" s="6">
        <f t="shared" si="2"/>
        <v>0</v>
      </c>
      <c r="K10" s="6">
        <f t="shared" si="3"/>
        <v>0</v>
      </c>
      <c r="L10" s="6">
        <f t="shared" si="4"/>
        <v>1140</v>
      </c>
      <c r="M10" s="6">
        <f t="shared" si="5"/>
        <v>3800</v>
      </c>
      <c r="N10" s="6">
        <f t="shared" si="6"/>
        <v>3800</v>
      </c>
      <c r="O10" s="3">
        <f t="shared" si="7"/>
        <v>0</v>
      </c>
      <c r="P10" s="3">
        <f t="shared" si="8"/>
        <v>0</v>
      </c>
      <c r="Q10" s="3">
        <f t="shared" si="9"/>
        <v>3500</v>
      </c>
      <c r="R10" s="6">
        <f t="shared" si="10"/>
        <v>3500</v>
      </c>
      <c r="S10" s="6">
        <f t="shared" si="11"/>
        <v>3500</v>
      </c>
      <c r="T10" s="3" cm="1">
        <f t="array" ref="T10">_xlfn.IFS(G10&lt;5000,0,G10&lt;=10000,50,G10&lt;=15000,100,G10&lt;=20000,150,G10&gt;20000,200)</f>
        <v>50</v>
      </c>
      <c r="U10" s="3">
        <f t="shared" si="12"/>
        <v>50</v>
      </c>
      <c r="V10" s="3">
        <f t="shared" si="13"/>
        <v>5000</v>
      </c>
      <c r="W10" s="3">
        <f t="shared" si="14"/>
        <v>5000</v>
      </c>
      <c r="X10" s="3">
        <f t="shared" si="15"/>
        <v>5000</v>
      </c>
      <c r="Y10" s="6">
        <f t="shared" si="16"/>
        <v>2850</v>
      </c>
      <c r="Z10" s="6">
        <f t="shared" si="17"/>
        <v>36290</v>
      </c>
      <c r="AA10" s="6">
        <f t="shared" si="18"/>
        <v>35100</v>
      </c>
      <c r="AB10" s="15">
        <f t="shared" si="19"/>
        <v>435480</v>
      </c>
    </row>
    <row r="11" spans="1:32" x14ac:dyDescent="0.3">
      <c r="A11" s="3">
        <v>10</v>
      </c>
      <c r="B11" s="3" t="s">
        <v>56</v>
      </c>
      <c r="C11" s="3" t="s">
        <v>57</v>
      </c>
      <c r="D11" s="3" t="s">
        <v>58</v>
      </c>
      <c r="E11" s="3" t="s">
        <v>35</v>
      </c>
      <c r="F11" s="3" t="s">
        <v>25</v>
      </c>
      <c r="G11" s="6">
        <v>8750</v>
      </c>
      <c r="H11" s="6">
        <f t="shared" si="0"/>
        <v>4375</v>
      </c>
      <c r="I11" s="6">
        <f t="shared" si="1"/>
        <v>5250</v>
      </c>
      <c r="J11" s="6">
        <f t="shared" si="2"/>
        <v>0</v>
      </c>
      <c r="K11" s="6">
        <f t="shared" si="3"/>
        <v>0</v>
      </c>
      <c r="L11" s="6">
        <f t="shared" si="4"/>
        <v>1050</v>
      </c>
      <c r="M11" s="6">
        <f t="shared" si="5"/>
        <v>0</v>
      </c>
      <c r="N11" s="6">
        <f t="shared" si="6"/>
        <v>0</v>
      </c>
      <c r="O11" s="3">
        <f t="shared" si="7"/>
        <v>5000</v>
      </c>
      <c r="P11" s="3">
        <f t="shared" si="8"/>
        <v>5000</v>
      </c>
      <c r="Q11" s="3">
        <f t="shared" si="9"/>
        <v>0</v>
      </c>
      <c r="R11" s="6">
        <f t="shared" si="10"/>
        <v>0</v>
      </c>
      <c r="S11" s="6">
        <f t="shared" si="11"/>
        <v>0</v>
      </c>
      <c r="T11" s="3" cm="1">
        <f t="array" ref="T11">_xlfn.IFS(G11&lt;5000,0,G11&lt;=10000,50,G11&lt;=15000,100,G11&lt;=20000,150,G11&gt;20000,200)</f>
        <v>50</v>
      </c>
      <c r="U11" s="3">
        <f t="shared" si="12"/>
        <v>50</v>
      </c>
      <c r="V11" s="3">
        <f t="shared" si="13"/>
        <v>5000</v>
      </c>
      <c r="W11" s="3">
        <f t="shared" si="14"/>
        <v>5000</v>
      </c>
      <c r="X11" s="3">
        <f t="shared" si="15"/>
        <v>5000</v>
      </c>
      <c r="Y11" s="6">
        <f t="shared" si="16"/>
        <v>0</v>
      </c>
      <c r="Z11" s="6">
        <f t="shared" si="17"/>
        <v>29475</v>
      </c>
      <c r="AA11" s="6">
        <f t="shared" si="18"/>
        <v>28375</v>
      </c>
      <c r="AB11" s="15">
        <f t="shared" si="19"/>
        <v>353700</v>
      </c>
      <c r="AC11" s="16" t="s">
        <v>17</v>
      </c>
      <c r="AD11" s="17" t="s">
        <v>15</v>
      </c>
      <c r="AE11" s="27" t="s">
        <v>107</v>
      </c>
      <c r="AF11" s="27">
        <v>0</v>
      </c>
    </row>
    <row r="12" spans="1:32" x14ac:dyDescent="0.3">
      <c r="A12" s="3">
        <v>11</v>
      </c>
      <c r="B12" s="3" t="s">
        <v>60</v>
      </c>
      <c r="C12" s="3" t="s">
        <v>61</v>
      </c>
      <c r="D12" s="3" t="s">
        <v>58</v>
      </c>
      <c r="E12" s="3" t="s">
        <v>35</v>
      </c>
      <c r="F12" s="3" t="s">
        <v>30</v>
      </c>
      <c r="G12" s="6">
        <v>11250</v>
      </c>
      <c r="H12" s="6">
        <f t="shared" si="0"/>
        <v>5625</v>
      </c>
      <c r="I12" s="6">
        <f t="shared" si="1"/>
        <v>6750</v>
      </c>
      <c r="J12" s="6">
        <f t="shared" si="2"/>
        <v>5000</v>
      </c>
      <c r="K12" s="6">
        <f t="shared" si="3"/>
        <v>5000</v>
      </c>
      <c r="L12" s="6">
        <f t="shared" si="4"/>
        <v>1350</v>
      </c>
      <c r="M12" s="6">
        <f t="shared" si="5"/>
        <v>0</v>
      </c>
      <c r="N12" s="6">
        <f t="shared" si="6"/>
        <v>0</v>
      </c>
      <c r="O12" s="3">
        <f t="shared" si="7"/>
        <v>0</v>
      </c>
      <c r="P12" s="3">
        <f t="shared" si="8"/>
        <v>0</v>
      </c>
      <c r="Q12" s="3">
        <f t="shared" si="9"/>
        <v>3500</v>
      </c>
      <c r="R12" s="6">
        <f t="shared" si="10"/>
        <v>3500</v>
      </c>
      <c r="S12" s="6">
        <f t="shared" si="11"/>
        <v>3500</v>
      </c>
      <c r="T12" s="3" cm="1">
        <f t="array" ref="T12">_xlfn.IFS(G12&lt;5000,0,G12&lt;=10000,50,G12&lt;=15000,100,G12&lt;=20000,150,G12&gt;20000,200)</f>
        <v>100</v>
      </c>
      <c r="U12" s="3">
        <f t="shared" si="12"/>
        <v>100</v>
      </c>
      <c r="V12" s="3">
        <f t="shared" si="13"/>
        <v>5000</v>
      </c>
      <c r="W12" s="3">
        <f t="shared" si="14"/>
        <v>5000</v>
      </c>
      <c r="X12" s="3">
        <f t="shared" si="15"/>
        <v>5000</v>
      </c>
      <c r="Y12" s="6">
        <f t="shared" si="16"/>
        <v>0</v>
      </c>
      <c r="Z12" s="6">
        <f t="shared" si="17"/>
        <v>38575</v>
      </c>
      <c r="AA12" s="6">
        <f t="shared" si="18"/>
        <v>37125</v>
      </c>
      <c r="AB12" s="15">
        <f t="shared" si="19"/>
        <v>462900</v>
      </c>
      <c r="AC12" s="18" t="s">
        <v>36</v>
      </c>
      <c r="AD12" s="19" t="s">
        <v>35</v>
      </c>
      <c r="AE12" s="28"/>
      <c r="AF12" s="28"/>
    </row>
    <row r="13" spans="1:32" x14ac:dyDescent="0.3">
      <c r="A13" s="3">
        <v>12</v>
      </c>
      <c r="B13" s="3" t="s">
        <v>63</v>
      </c>
      <c r="C13" s="3" t="s">
        <v>39</v>
      </c>
      <c r="D13" s="3" t="s">
        <v>64</v>
      </c>
      <c r="E13" s="3" t="s">
        <v>35</v>
      </c>
      <c r="F13" s="3" t="s">
        <v>36</v>
      </c>
      <c r="G13" s="6">
        <v>10000</v>
      </c>
      <c r="H13" s="6">
        <f t="shared" si="0"/>
        <v>5000</v>
      </c>
      <c r="I13" s="6">
        <f t="shared" si="1"/>
        <v>6000</v>
      </c>
      <c r="J13" s="6">
        <f t="shared" si="2"/>
        <v>0</v>
      </c>
      <c r="K13" s="6">
        <f t="shared" si="3"/>
        <v>0</v>
      </c>
      <c r="L13" s="6">
        <f t="shared" si="4"/>
        <v>1200</v>
      </c>
      <c r="M13" s="6">
        <f t="shared" si="5"/>
        <v>0</v>
      </c>
      <c r="N13" s="6">
        <f t="shared" si="6"/>
        <v>0</v>
      </c>
      <c r="O13" s="3">
        <f t="shared" si="7"/>
        <v>0</v>
      </c>
      <c r="P13" s="3">
        <f t="shared" si="8"/>
        <v>0</v>
      </c>
      <c r="Q13" s="3">
        <f t="shared" si="9"/>
        <v>3500</v>
      </c>
      <c r="R13" s="6">
        <f t="shared" si="10"/>
        <v>3500</v>
      </c>
      <c r="S13" s="6">
        <f t="shared" si="11"/>
        <v>3500</v>
      </c>
      <c r="T13" s="3" cm="1">
        <f t="array" ref="T13">_xlfn.IFS(G13&lt;5000,0,G13&lt;=10000,50,G13&lt;=15000,100,G13&lt;=20000,150,G13&gt;20000,200)</f>
        <v>50</v>
      </c>
      <c r="U13" s="3">
        <f t="shared" si="12"/>
        <v>50</v>
      </c>
      <c r="V13" s="3">
        <f t="shared" si="13"/>
        <v>0</v>
      </c>
      <c r="W13" s="3">
        <f t="shared" si="14"/>
        <v>0</v>
      </c>
      <c r="X13" s="3">
        <f t="shared" si="15"/>
        <v>0</v>
      </c>
      <c r="Y13" s="6">
        <f t="shared" si="16"/>
        <v>3000</v>
      </c>
      <c r="Z13" s="6">
        <f t="shared" si="17"/>
        <v>28750</v>
      </c>
      <c r="AA13" s="6">
        <f t="shared" si="18"/>
        <v>27500</v>
      </c>
      <c r="AB13" s="15">
        <f t="shared" si="19"/>
        <v>345000</v>
      </c>
      <c r="AC13" s="18" t="s">
        <v>30</v>
      </c>
      <c r="AD13" s="19" t="s">
        <v>23</v>
      </c>
      <c r="AE13" s="28"/>
      <c r="AF13" s="28"/>
    </row>
    <row r="14" spans="1:32" ht="15" thickBot="1" x14ac:dyDescent="0.35">
      <c r="A14" s="3">
        <v>13</v>
      </c>
      <c r="B14" s="3" t="s">
        <v>66</v>
      </c>
      <c r="C14" s="3" t="s">
        <v>21</v>
      </c>
      <c r="D14" s="3" t="s">
        <v>67</v>
      </c>
      <c r="E14" s="3" t="s">
        <v>35</v>
      </c>
      <c r="F14" s="3" t="s">
        <v>17</v>
      </c>
      <c r="G14" s="6">
        <v>16250</v>
      </c>
      <c r="H14" s="6">
        <f t="shared" si="0"/>
        <v>8125</v>
      </c>
      <c r="I14" s="6">
        <f t="shared" si="1"/>
        <v>9750</v>
      </c>
      <c r="J14" s="6">
        <f t="shared" si="2"/>
        <v>0</v>
      </c>
      <c r="K14" s="6">
        <f t="shared" si="3"/>
        <v>0</v>
      </c>
      <c r="L14" s="6">
        <f t="shared" si="4"/>
        <v>1950</v>
      </c>
      <c r="M14" s="6">
        <f t="shared" si="5"/>
        <v>0</v>
      </c>
      <c r="N14" s="6">
        <f t="shared" si="6"/>
        <v>0</v>
      </c>
      <c r="O14" s="3">
        <f t="shared" si="7"/>
        <v>0</v>
      </c>
      <c r="P14" s="3">
        <f t="shared" si="8"/>
        <v>0</v>
      </c>
      <c r="Q14" s="3">
        <f t="shared" si="9"/>
        <v>3500</v>
      </c>
      <c r="R14" s="6">
        <f t="shared" si="10"/>
        <v>3500</v>
      </c>
      <c r="S14" s="6">
        <f t="shared" si="11"/>
        <v>3500</v>
      </c>
      <c r="T14" s="3" cm="1">
        <f t="array" ref="T14">_xlfn.IFS(G14&lt;5000,0,G14&lt;=10000,50,G14&lt;=15000,100,G14&lt;=20000,150,G14&gt;20000,200)</f>
        <v>150</v>
      </c>
      <c r="U14" s="3">
        <f t="shared" si="12"/>
        <v>150</v>
      </c>
      <c r="V14" s="3">
        <f t="shared" si="13"/>
        <v>0</v>
      </c>
      <c r="W14" s="3">
        <f t="shared" si="14"/>
        <v>0</v>
      </c>
      <c r="X14" s="3">
        <f t="shared" si="15"/>
        <v>0</v>
      </c>
      <c r="Y14" s="6">
        <f t="shared" si="16"/>
        <v>0</v>
      </c>
      <c r="Z14" s="6">
        <f t="shared" si="17"/>
        <v>39725</v>
      </c>
      <c r="AA14" s="6">
        <f t="shared" si="18"/>
        <v>37625</v>
      </c>
      <c r="AB14" s="15">
        <f t="shared" si="19"/>
        <v>476700</v>
      </c>
      <c r="AC14" s="20" t="s">
        <v>25</v>
      </c>
      <c r="AD14" s="21" t="s">
        <v>18</v>
      </c>
      <c r="AE14" s="29"/>
      <c r="AF14" s="29"/>
    </row>
    <row r="15" spans="1:32" x14ac:dyDescent="0.3">
      <c r="A15" s="3">
        <v>14</v>
      </c>
      <c r="B15" s="3" t="s">
        <v>69</v>
      </c>
      <c r="C15" s="3" t="s">
        <v>28</v>
      </c>
      <c r="D15" s="3" t="s">
        <v>64</v>
      </c>
      <c r="E15" s="3" t="s">
        <v>35</v>
      </c>
      <c r="F15" s="3" t="s">
        <v>25</v>
      </c>
      <c r="G15" s="6">
        <v>6400</v>
      </c>
      <c r="H15" s="6">
        <f t="shared" si="0"/>
        <v>3200</v>
      </c>
      <c r="I15" s="6">
        <f t="shared" si="1"/>
        <v>3840</v>
      </c>
      <c r="J15" s="6">
        <f t="shared" si="2"/>
        <v>0</v>
      </c>
      <c r="K15" s="6">
        <f t="shared" si="3"/>
        <v>0</v>
      </c>
      <c r="L15" s="6">
        <f t="shared" si="4"/>
        <v>768</v>
      </c>
      <c r="M15" s="6">
        <f t="shared" si="5"/>
        <v>0</v>
      </c>
      <c r="N15" s="6">
        <f t="shared" si="6"/>
        <v>0</v>
      </c>
      <c r="O15" s="3">
        <f t="shared" si="7"/>
        <v>5000</v>
      </c>
      <c r="P15" s="3">
        <f t="shared" si="8"/>
        <v>5000</v>
      </c>
      <c r="Q15" s="3">
        <f t="shared" si="9"/>
        <v>0</v>
      </c>
      <c r="R15" s="6">
        <f t="shared" si="10"/>
        <v>0</v>
      </c>
      <c r="S15" s="6">
        <f t="shared" si="11"/>
        <v>0</v>
      </c>
      <c r="T15" s="3" cm="1">
        <f t="array" ref="T15">_xlfn.IFS(G15&lt;5000,0,G15&lt;=10000,50,G15&lt;=15000,100,G15&lt;=20000,150,G15&gt;20000,200)</f>
        <v>50</v>
      </c>
      <c r="U15" s="3">
        <f t="shared" si="12"/>
        <v>50</v>
      </c>
      <c r="V15" s="3">
        <f t="shared" si="13"/>
        <v>0</v>
      </c>
      <c r="W15" s="3">
        <f t="shared" si="14"/>
        <v>0</v>
      </c>
      <c r="X15" s="3">
        <f t="shared" si="15"/>
        <v>0</v>
      </c>
      <c r="Y15" s="6">
        <f t="shared" si="16"/>
        <v>0</v>
      </c>
      <c r="Z15" s="6">
        <f t="shared" si="17"/>
        <v>19258</v>
      </c>
      <c r="AA15" s="6">
        <f t="shared" si="18"/>
        <v>18440</v>
      </c>
      <c r="AB15" s="15">
        <f t="shared" si="19"/>
        <v>231096</v>
      </c>
    </row>
    <row r="16" spans="1:32" x14ac:dyDescent="0.3">
      <c r="A16" s="3">
        <v>15</v>
      </c>
      <c r="B16" s="3" t="s">
        <v>71</v>
      </c>
      <c r="C16" s="3" t="s">
        <v>57</v>
      </c>
      <c r="D16" s="3" t="s">
        <v>22</v>
      </c>
      <c r="E16" s="3" t="s">
        <v>23</v>
      </c>
      <c r="F16" s="3" t="s">
        <v>30</v>
      </c>
      <c r="G16" s="6">
        <v>4500</v>
      </c>
      <c r="H16" s="6">
        <f t="shared" si="0"/>
        <v>2250</v>
      </c>
      <c r="I16" s="6">
        <f t="shared" si="1"/>
        <v>2700</v>
      </c>
      <c r="J16" s="6">
        <f t="shared" si="2"/>
        <v>5000</v>
      </c>
      <c r="K16" s="6">
        <f t="shared" si="3"/>
        <v>5000</v>
      </c>
      <c r="L16" s="6">
        <f t="shared" si="4"/>
        <v>540</v>
      </c>
      <c r="M16" s="6">
        <f t="shared" si="5"/>
        <v>0</v>
      </c>
      <c r="N16" s="6">
        <f t="shared" si="6"/>
        <v>0</v>
      </c>
      <c r="O16" s="3">
        <f t="shared" si="7"/>
        <v>0</v>
      </c>
      <c r="P16" s="3">
        <f t="shared" si="8"/>
        <v>0</v>
      </c>
      <c r="Q16" s="3">
        <f t="shared" si="9"/>
        <v>3500</v>
      </c>
      <c r="R16" s="6">
        <f t="shared" si="10"/>
        <v>3500</v>
      </c>
      <c r="S16" s="6">
        <f t="shared" si="11"/>
        <v>3500</v>
      </c>
      <c r="T16" s="3" cm="1">
        <f t="array" ref="T16">_xlfn.IFS(G16&lt;5000,0,G16&lt;=10000,50,G16&lt;=15000,100,G16&lt;=20000,150,G16&gt;20000,200)</f>
        <v>0</v>
      </c>
      <c r="U16" s="3">
        <f t="shared" si="12"/>
        <v>0</v>
      </c>
      <c r="V16" s="3">
        <f t="shared" si="13"/>
        <v>5000</v>
      </c>
      <c r="W16" s="3">
        <f t="shared" si="14"/>
        <v>5000</v>
      </c>
      <c r="X16" s="3">
        <f t="shared" si="15"/>
        <v>5000</v>
      </c>
      <c r="Y16" s="6">
        <f t="shared" si="16"/>
        <v>1350</v>
      </c>
      <c r="Z16" s="6">
        <f t="shared" si="17"/>
        <v>24840</v>
      </c>
      <c r="AA16" s="6">
        <f t="shared" si="18"/>
        <v>24300</v>
      </c>
      <c r="AB16" s="15">
        <f t="shared" si="19"/>
        <v>298080</v>
      </c>
    </row>
    <row r="17" spans="1:29" x14ac:dyDescent="0.3">
      <c r="A17" s="3">
        <v>16</v>
      </c>
      <c r="B17" s="3" t="s">
        <v>73</v>
      </c>
      <c r="C17" s="3" t="s">
        <v>57</v>
      </c>
      <c r="D17" s="3" t="s">
        <v>64</v>
      </c>
      <c r="E17" s="3" t="s">
        <v>35</v>
      </c>
      <c r="F17" s="3" t="s">
        <v>36</v>
      </c>
      <c r="G17" s="6">
        <v>6275</v>
      </c>
      <c r="H17" s="6">
        <f t="shared" si="0"/>
        <v>3137.5</v>
      </c>
      <c r="I17" s="6">
        <f t="shared" si="1"/>
        <v>3765</v>
      </c>
      <c r="J17" s="6">
        <f t="shared" si="2"/>
        <v>0</v>
      </c>
      <c r="K17" s="6">
        <f t="shared" si="3"/>
        <v>0</v>
      </c>
      <c r="L17" s="6">
        <f t="shared" si="4"/>
        <v>753</v>
      </c>
      <c r="M17" s="6">
        <f t="shared" si="5"/>
        <v>0</v>
      </c>
      <c r="N17" s="6">
        <f t="shared" si="6"/>
        <v>0</v>
      </c>
      <c r="O17" s="3">
        <f t="shared" si="7"/>
        <v>0</v>
      </c>
      <c r="P17" s="3">
        <f t="shared" si="8"/>
        <v>0</v>
      </c>
      <c r="Q17" s="3">
        <f t="shared" si="9"/>
        <v>3500</v>
      </c>
      <c r="R17" s="6">
        <f t="shared" si="10"/>
        <v>3500</v>
      </c>
      <c r="S17" s="6">
        <f t="shared" si="11"/>
        <v>3500</v>
      </c>
      <c r="T17" s="3" cm="1">
        <f t="array" ref="T17">_xlfn.IFS(G17&lt;5000,0,G17&lt;=10000,50,G17&lt;=15000,100,G17&lt;=20000,150,G17&gt;20000,200)</f>
        <v>50</v>
      </c>
      <c r="U17" s="3">
        <f t="shared" si="12"/>
        <v>50</v>
      </c>
      <c r="V17" s="3">
        <f t="shared" si="13"/>
        <v>0</v>
      </c>
      <c r="W17" s="3">
        <f t="shared" si="14"/>
        <v>0</v>
      </c>
      <c r="X17" s="3">
        <f t="shared" si="15"/>
        <v>0</v>
      </c>
      <c r="Y17" s="6">
        <f t="shared" si="16"/>
        <v>1882.5</v>
      </c>
      <c r="Z17" s="6">
        <f t="shared" si="17"/>
        <v>19363</v>
      </c>
      <c r="AA17" s="6">
        <f t="shared" si="18"/>
        <v>18560</v>
      </c>
      <c r="AB17" s="15">
        <f t="shared" si="19"/>
        <v>232356</v>
      </c>
    </row>
    <row r="18" spans="1:29" x14ac:dyDescent="0.3">
      <c r="A18" s="3">
        <v>17</v>
      </c>
      <c r="B18" s="3" t="s">
        <v>75</v>
      </c>
      <c r="C18" s="3" t="s">
        <v>76</v>
      </c>
      <c r="D18" s="3" t="s">
        <v>54</v>
      </c>
      <c r="E18" s="3" t="s">
        <v>15</v>
      </c>
      <c r="F18" s="3" t="s">
        <v>77</v>
      </c>
      <c r="G18" s="6">
        <v>6250</v>
      </c>
      <c r="H18" s="6">
        <f t="shared" si="0"/>
        <v>3125</v>
      </c>
      <c r="I18" s="6">
        <f t="shared" si="1"/>
        <v>3750</v>
      </c>
      <c r="J18" s="6">
        <f t="shared" si="2"/>
        <v>0</v>
      </c>
      <c r="K18" s="6">
        <f t="shared" si="3"/>
        <v>0</v>
      </c>
      <c r="L18" s="6">
        <f t="shared" si="4"/>
        <v>750</v>
      </c>
      <c r="M18" s="6">
        <f t="shared" si="5"/>
        <v>0</v>
      </c>
      <c r="N18" s="6">
        <f t="shared" si="6"/>
        <v>0</v>
      </c>
      <c r="O18" s="3">
        <f t="shared" si="7"/>
        <v>5000</v>
      </c>
      <c r="P18" s="3">
        <f t="shared" si="8"/>
        <v>5000</v>
      </c>
      <c r="Q18" s="3">
        <f t="shared" si="9"/>
        <v>0</v>
      </c>
      <c r="R18" s="6">
        <f t="shared" si="10"/>
        <v>0</v>
      </c>
      <c r="S18" s="6">
        <f t="shared" si="11"/>
        <v>0</v>
      </c>
      <c r="T18" s="3" cm="1">
        <f t="array" ref="T18">_xlfn.IFS(G18&lt;5000,0,G18&lt;=10000,50,G18&lt;=15000,100,G18&lt;=20000,150,G18&gt;20000,200)</f>
        <v>50</v>
      </c>
      <c r="U18" s="3">
        <f t="shared" si="12"/>
        <v>50</v>
      </c>
      <c r="V18" s="3">
        <f t="shared" si="13"/>
        <v>5000</v>
      </c>
      <c r="W18" s="3">
        <f t="shared" si="14"/>
        <v>5000</v>
      </c>
      <c r="X18" s="3">
        <f t="shared" si="15"/>
        <v>5000</v>
      </c>
      <c r="Y18" s="6">
        <f t="shared" si="16"/>
        <v>0</v>
      </c>
      <c r="Z18" s="6">
        <f t="shared" si="17"/>
        <v>23925</v>
      </c>
      <c r="AA18" s="6">
        <f t="shared" si="18"/>
        <v>23125</v>
      </c>
      <c r="AB18" s="15">
        <f t="shared" si="19"/>
        <v>287100</v>
      </c>
      <c r="AC18" s="22"/>
    </row>
    <row r="19" spans="1:29" x14ac:dyDescent="0.3">
      <c r="A19" s="3">
        <v>18</v>
      </c>
      <c r="B19" s="3" t="s">
        <v>79</v>
      </c>
      <c r="C19" s="3" t="s">
        <v>80</v>
      </c>
      <c r="D19" s="3" t="s">
        <v>54</v>
      </c>
      <c r="E19" s="3" t="s">
        <v>15</v>
      </c>
      <c r="F19" s="3" t="s">
        <v>36</v>
      </c>
      <c r="G19" s="6">
        <v>8750</v>
      </c>
      <c r="H19" s="6">
        <f t="shared" si="0"/>
        <v>4375</v>
      </c>
      <c r="I19" s="6">
        <f t="shared" si="1"/>
        <v>5250</v>
      </c>
      <c r="J19" s="6">
        <f t="shared" si="2"/>
        <v>0</v>
      </c>
      <c r="K19" s="6">
        <f t="shared" si="3"/>
        <v>0</v>
      </c>
      <c r="L19" s="6">
        <f t="shared" si="4"/>
        <v>1050</v>
      </c>
      <c r="M19" s="6">
        <f t="shared" si="5"/>
        <v>0</v>
      </c>
      <c r="N19" s="6">
        <f t="shared" si="6"/>
        <v>0</v>
      </c>
      <c r="O19" s="3">
        <f t="shared" si="7"/>
        <v>0</v>
      </c>
      <c r="P19" s="3">
        <f t="shared" si="8"/>
        <v>0</v>
      </c>
      <c r="Q19" s="3">
        <f t="shared" si="9"/>
        <v>3500</v>
      </c>
      <c r="R19" s="6">
        <f t="shared" si="10"/>
        <v>3500</v>
      </c>
      <c r="S19" s="6">
        <f t="shared" si="11"/>
        <v>3500</v>
      </c>
      <c r="T19" s="3" cm="1">
        <f t="array" ref="T19">_xlfn.IFS(G19&lt;5000,0,G19&lt;=10000,50,G19&lt;=15000,100,G19&lt;=20000,150,G19&gt;20000,200)</f>
        <v>50</v>
      </c>
      <c r="U19" s="3">
        <f t="shared" si="12"/>
        <v>50</v>
      </c>
      <c r="V19" s="3">
        <f t="shared" si="13"/>
        <v>5000</v>
      </c>
      <c r="W19" s="3">
        <f t="shared" si="14"/>
        <v>5000</v>
      </c>
      <c r="X19" s="3">
        <f t="shared" si="15"/>
        <v>5000</v>
      </c>
      <c r="Y19" s="6">
        <f t="shared" si="16"/>
        <v>0</v>
      </c>
      <c r="Z19" s="6">
        <f t="shared" si="17"/>
        <v>27975</v>
      </c>
      <c r="AA19" s="6">
        <f t="shared" si="18"/>
        <v>26875</v>
      </c>
      <c r="AB19" s="15">
        <f t="shared" si="19"/>
        <v>335700</v>
      </c>
    </row>
    <row r="20" spans="1:29" x14ac:dyDescent="0.3">
      <c r="A20" s="3">
        <v>19</v>
      </c>
      <c r="B20" s="3" t="s">
        <v>82</v>
      </c>
      <c r="C20" s="3" t="s">
        <v>83</v>
      </c>
      <c r="D20" s="3" t="s">
        <v>84</v>
      </c>
      <c r="E20" s="3" t="s">
        <v>15</v>
      </c>
      <c r="F20" s="3" t="s">
        <v>77</v>
      </c>
      <c r="G20" s="6">
        <v>11250</v>
      </c>
      <c r="H20" s="6">
        <f t="shared" si="0"/>
        <v>5625</v>
      </c>
      <c r="I20" s="6">
        <f t="shared" si="1"/>
        <v>6750</v>
      </c>
      <c r="J20" s="6">
        <f t="shared" si="2"/>
        <v>0</v>
      </c>
      <c r="K20" s="6">
        <f t="shared" si="3"/>
        <v>0</v>
      </c>
      <c r="L20" s="6">
        <f t="shared" si="4"/>
        <v>1350</v>
      </c>
      <c r="M20" s="6">
        <f t="shared" si="5"/>
        <v>0</v>
      </c>
      <c r="N20" s="6">
        <f t="shared" si="6"/>
        <v>0</v>
      </c>
      <c r="O20" s="3">
        <f t="shared" si="7"/>
        <v>5000</v>
      </c>
      <c r="P20" s="3">
        <f t="shared" si="8"/>
        <v>5000</v>
      </c>
      <c r="Q20" s="3">
        <f t="shared" si="9"/>
        <v>0</v>
      </c>
      <c r="R20" s="6">
        <f t="shared" si="10"/>
        <v>0</v>
      </c>
      <c r="S20" s="6">
        <f t="shared" si="11"/>
        <v>0</v>
      </c>
      <c r="T20" s="3" cm="1">
        <f t="array" ref="T20">_xlfn.IFS(G20&lt;5000,0,G20&lt;=10000,50,G20&lt;=15000,100,G20&lt;=20000,150,G20&gt;20000,200)</f>
        <v>100</v>
      </c>
      <c r="U20" s="3">
        <f t="shared" si="12"/>
        <v>100</v>
      </c>
      <c r="V20" s="3">
        <f t="shared" si="13"/>
        <v>0</v>
      </c>
      <c r="W20" s="3">
        <f t="shared" si="14"/>
        <v>0</v>
      </c>
      <c r="X20" s="3">
        <f t="shared" si="15"/>
        <v>0</v>
      </c>
      <c r="Y20" s="6">
        <f t="shared" si="16"/>
        <v>0</v>
      </c>
      <c r="Z20" s="6">
        <f t="shared" si="17"/>
        <v>30075</v>
      </c>
      <c r="AA20" s="6">
        <f t="shared" si="18"/>
        <v>28625</v>
      </c>
      <c r="AB20" s="15">
        <f t="shared" si="19"/>
        <v>360900</v>
      </c>
    </row>
    <row r="21" spans="1:29" x14ac:dyDescent="0.3">
      <c r="A21" s="3">
        <v>20</v>
      </c>
      <c r="B21" s="3" t="s">
        <v>86</v>
      </c>
      <c r="C21" s="3" t="s">
        <v>87</v>
      </c>
      <c r="D21" s="3" t="s">
        <v>29</v>
      </c>
      <c r="E21" s="3" t="s">
        <v>23</v>
      </c>
      <c r="F21" s="3" t="s">
        <v>17</v>
      </c>
      <c r="G21" s="6">
        <v>10000</v>
      </c>
      <c r="H21" s="6">
        <f t="shared" si="0"/>
        <v>5000</v>
      </c>
      <c r="I21" s="6">
        <f t="shared" si="1"/>
        <v>6000</v>
      </c>
      <c r="J21" s="6">
        <f t="shared" si="2"/>
        <v>0</v>
      </c>
      <c r="K21" s="6">
        <f t="shared" si="3"/>
        <v>0</v>
      </c>
      <c r="L21" s="6">
        <f t="shared" si="4"/>
        <v>1200</v>
      </c>
      <c r="M21" s="6">
        <f t="shared" si="5"/>
        <v>0</v>
      </c>
      <c r="N21" s="6">
        <f t="shared" si="6"/>
        <v>0</v>
      </c>
      <c r="O21" s="3">
        <f t="shared" si="7"/>
        <v>0</v>
      </c>
      <c r="P21" s="3">
        <f t="shared" si="8"/>
        <v>0</v>
      </c>
      <c r="Q21" s="3">
        <f t="shared" si="9"/>
        <v>3500</v>
      </c>
      <c r="R21" s="6">
        <f t="shared" si="10"/>
        <v>3500</v>
      </c>
      <c r="S21" s="6">
        <f t="shared" si="11"/>
        <v>3500</v>
      </c>
      <c r="T21" s="3" cm="1">
        <f t="array" ref="T21">_xlfn.IFS(G21&lt;5000,0,G21&lt;=10000,50,G21&lt;=15000,100,G21&lt;=20000,150,G21&gt;20000,200)</f>
        <v>50</v>
      </c>
      <c r="U21" s="3">
        <f t="shared" si="12"/>
        <v>50</v>
      </c>
      <c r="V21" s="3">
        <f t="shared" si="13"/>
        <v>0</v>
      </c>
      <c r="W21" s="3">
        <f t="shared" si="14"/>
        <v>0</v>
      </c>
      <c r="X21" s="3">
        <f t="shared" si="15"/>
        <v>0</v>
      </c>
      <c r="Y21" s="6">
        <f t="shared" si="16"/>
        <v>0</v>
      </c>
      <c r="Z21" s="6">
        <f t="shared" si="17"/>
        <v>25750</v>
      </c>
      <c r="AA21" s="6">
        <f t="shared" si="18"/>
        <v>24500</v>
      </c>
      <c r="AB21" s="15">
        <f t="shared" si="19"/>
        <v>309000</v>
      </c>
      <c r="AC21" s="22"/>
    </row>
    <row r="22" spans="1:29" x14ac:dyDescent="0.3">
      <c r="U22"/>
    </row>
    <row r="23" spans="1:29" x14ac:dyDescent="0.3">
      <c r="H23" s="23"/>
      <c r="I23" s="23"/>
      <c r="J23" s="23"/>
      <c r="K23" s="23"/>
      <c r="L23" s="23"/>
      <c r="M23" s="23"/>
      <c r="U23"/>
      <c r="AA23" s="23"/>
      <c r="AB23" s="23"/>
    </row>
    <row r="24" spans="1:29" x14ac:dyDescent="0.3">
      <c r="H24" t="str">
        <f ca="1">_xlfn.FORMULATEXT(H2)</f>
        <v>=50%*G2</v>
      </c>
      <c r="I24" t="str">
        <f ca="1">_xlfn.FORMULATEXT(I2)</f>
        <v>=(G2+H2)*40%</v>
      </c>
      <c r="U24"/>
    </row>
    <row r="25" spans="1:29" x14ac:dyDescent="0.3">
      <c r="U25"/>
    </row>
    <row r="26" spans="1:29" x14ac:dyDescent="0.3">
      <c r="U26"/>
    </row>
    <row r="27" spans="1:29" x14ac:dyDescent="0.3">
      <c r="U27"/>
    </row>
    <row r="28" spans="1:29" x14ac:dyDescent="0.3">
      <c r="U28"/>
    </row>
    <row r="29" spans="1:29" x14ac:dyDescent="0.3">
      <c r="U29"/>
    </row>
    <row r="30" spans="1:29" x14ac:dyDescent="0.3">
      <c r="U30"/>
    </row>
    <row r="31" spans="1:29" x14ac:dyDescent="0.3">
      <c r="U31"/>
    </row>
    <row r="32" spans="1:29" x14ac:dyDescent="0.3">
      <c r="U32"/>
    </row>
    <row r="33" spans="21:21" x14ac:dyDescent="0.3">
      <c r="U33"/>
    </row>
    <row r="34" spans="21:21" x14ac:dyDescent="0.3">
      <c r="U34"/>
    </row>
    <row r="35" spans="21:21" x14ac:dyDescent="0.3">
      <c r="U35"/>
    </row>
    <row r="36" spans="21:21" x14ac:dyDescent="0.3">
      <c r="U36"/>
    </row>
    <row r="37" spans="21:21" x14ac:dyDescent="0.3">
      <c r="U37"/>
    </row>
    <row r="38" spans="21:21" x14ac:dyDescent="0.3">
      <c r="U38"/>
    </row>
    <row r="39" spans="21:21" x14ac:dyDescent="0.3">
      <c r="U39"/>
    </row>
    <row r="40" spans="21:21" x14ac:dyDescent="0.3">
      <c r="U40"/>
    </row>
  </sheetData>
  <mergeCells count="3">
    <mergeCell ref="AC3:AD3"/>
    <mergeCell ref="AE11:AE14"/>
    <mergeCell ref="AF11:AF14"/>
  </mergeCells>
  <dataValidations count="4">
    <dataValidation type="custom" operator="greaterThanOrEqual" allowBlank="1" showInputMessage="1" showErrorMessage="1" sqref="G2:G21" xr:uid="{277644DE-2FC3-41D7-BE13-ECA0FB545727}">
      <formula1>ISNUMBER(G2)</formula1>
    </dataValidation>
    <dataValidation type="custom" operator="greaterThanOrEqual" allowBlank="1" showInputMessage="1" showErrorMessage="1" sqref="G1" xr:uid="{36C81349-25D4-4FCE-9882-E7C68270C34D}">
      <formula1>ISNUMBER(G2)</formula1>
    </dataValidation>
    <dataValidation type="custom" allowBlank="1" showInputMessage="1" showErrorMessage="1" sqref="B1:B21" xr:uid="{B0AAC224-6D75-433F-816E-F9B1BB74988C}">
      <formula1>ISTEXT(B1)</formula1>
    </dataValidation>
    <dataValidation type="custom" allowBlank="1" showInputMessage="1" showErrorMessage="1" sqref="F1:F21" xr:uid="{A01A23BD-A033-4E88-B79B-DA8DFE5D2DBB}">
      <formula1>ISTEXT(F2)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4677E-71C3-434A-B01E-E2074D24B69C}">
  <dimension ref="A1:J21"/>
  <sheetViews>
    <sheetView zoomScale="120" zoomScaleNormal="120" workbookViewId="0">
      <selection activeCell="E9" sqref="E9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8.6640625" customWidth="1"/>
    <col min="4" max="4" width="10" bestFit="1" customWidth="1"/>
    <col min="5" max="5" width="6.77734375" bestFit="1" customWidth="1"/>
    <col min="6" max="6" width="7.109375" bestFit="1" customWidth="1"/>
    <col min="7" max="7" width="11.33203125" bestFit="1" customWidth="1"/>
    <col min="8" max="8" width="13.44140625" customWidth="1"/>
    <col min="9" max="9" width="14.109375" customWidth="1"/>
    <col min="10" max="10" width="13.88671875" customWidth="1"/>
    <col min="11" max="11" width="18.6640625" customWidth="1"/>
    <col min="12" max="12" width="5.109375" customWidth="1"/>
    <col min="13" max="13" width="27" bestFit="1" customWidth="1"/>
    <col min="14" max="14" width="10" bestFit="1" customWidth="1"/>
    <col min="15" max="15" width="11.33203125" bestFit="1" customWidth="1"/>
    <col min="18" max="20" width="10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1" t="s">
        <v>9</v>
      </c>
      <c r="J1" s="2" t="s">
        <v>7</v>
      </c>
    </row>
    <row r="2" spans="1:10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5">
        <v>46017</v>
      </c>
      <c r="I2" s="5">
        <v>29221</v>
      </c>
      <c r="J2" s="4">
        <v>6500</v>
      </c>
    </row>
    <row r="3" spans="1:10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5">
        <v>45874</v>
      </c>
      <c r="I3" s="5">
        <v>36463</v>
      </c>
      <c r="J3" s="4">
        <v>8750</v>
      </c>
    </row>
    <row r="4" spans="1:10" x14ac:dyDescent="0.3">
      <c r="A4" s="3" t="s">
        <v>26</v>
      </c>
      <c r="B4" s="3" t="s">
        <v>27</v>
      </c>
      <c r="C4" s="3" t="s">
        <v>28</v>
      </c>
      <c r="D4" s="3" t="s">
        <v>29</v>
      </c>
      <c r="E4" s="3" t="s">
        <v>23</v>
      </c>
      <c r="F4" s="3" t="s">
        <v>24</v>
      </c>
      <c r="G4" s="3" t="s">
        <v>30</v>
      </c>
      <c r="H4" s="5">
        <v>45831</v>
      </c>
      <c r="I4" s="5">
        <v>33212</v>
      </c>
      <c r="J4" s="4">
        <v>11250</v>
      </c>
    </row>
    <row r="5" spans="1:10" x14ac:dyDescent="0.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16</v>
      </c>
      <c r="G5" s="3" t="s">
        <v>36</v>
      </c>
      <c r="H5" s="5">
        <v>46012</v>
      </c>
      <c r="I5" s="5">
        <v>37134</v>
      </c>
      <c r="J5" s="4">
        <v>10000</v>
      </c>
    </row>
    <row r="6" spans="1:10" x14ac:dyDescent="0.3">
      <c r="A6" s="3" t="s">
        <v>37</v>
      </c>
      <c r="B6" s="3" t="s">
        <v>38</v>
      </c>
      <c r="C6" s="3" t="s">
        <v>39</v>
      </c>
      <c r="D6" s="3" t="s">
        <v>22</v>
      </c>
      <c r="E6" s="3" t="s">
        <v>23</v>
      </c>
      <c r="F6" s="3" t="s">
        <v>16</v>
      </c>
      <c r="G6" s="3" t="s">
        <v>17</v>
      </c>
      <c r="H6" s="5">
        <v>45908</v>
      </c>
      <c r="I6" s="5">
        <v>31421</v>
      </c>
      <c r="J6" s="4">
        <v>16250</v>
      </c>
    </row>
    <row r="7" spans="1:10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18</v>
      </c>
      <c r="F7" s="3" t="s">
        <v>24</v>
      </c>
      <c r="G7" s="3" t="s">
        <v>25</v>
      </c>
      <c r="H7" s="5">
        <v>45884</v>
      </c>
      <c r="I7" s="5">
        <v>37626</v>
      </c>
      <c r="J7" s="4">
        <v>6400</v>
      </c>
    </row>
    <row r="8" spans="1:10" x14ac:dyDescent="0.3">
      <c r="A8" s="3" t="s">
        <v>44</v>
      </c>
      <c r="B8" s="3" t="s">
        <v>45</v>
      </c>
      <c r="C8" s="3" t="s">
        <v>46</v>
      </c>
      <c r="D8" s="3" t="s">
        <v>47</v>
      </c>
      <c r="E8" s="3" t="s">
        <v>18</v>
      </c>
      <c r="F8" s="3" t="s">
        <v>16</v>
      </c>
      <c r="G8" s="3" t="s">
        <v>30</v>
      </c>
      <c r="H8" s="5">
        <v>45736</v>
      </c>
      <c r="I8" s="5">
        <v>35073</v>
      </c>
      <c r="J8" s="4">
        <v>4500</v>
      </c>
    </row>
    <row r="9" spans="1:10" x14ac:dyDescent="0.3">
      <c r="A9" s="3" t="s">
        <v>48</v>
      </c>
      <c r="B9" s="3" t="s">
        <v>49</v>
      </c>
      <c r="C9" s="3" t="s">
        <v>50</v>
      </c>
      <c r="D9" s="3" t="s">
        <v>47</v>
      </c>
      <c r="E9" s="3" t="s">
        <v>18</v>
      </c>
      <c r="F9" s="3" t="s">
        <v>24</v>
      </c>
      <c r="G9" s="3" t="s">
        <v>36</v>
      </c>
      <c r="H9" s="5">
        <v>45776</v>
      </c>
      <c r="I9" s="5">
        <v>31376</v>
      </c>
      <c r="J9" s="4">
        <v>6275</v>
      </c>
    </row>
    <row r="10" spans="1:10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15</v>
      </c>
      <c r="F10" s="3" t="s">
        <v>16</v>
      </c>
      <c r="G10" s="3" t="s">
        <v>17</v>
      </c>
      <c r="H10" s="5">
        <v>45815</v>
      </c>
      <c r="I10" s="5">
        <v>34880</v>
      </c>
      <c r="J10" s="4">
        <v>6250</v>
      </c>
    </row>
    <row r="11" spans="1:10" x14ac:dyDescent="0.3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35</v>
      </c>
      <c r="F11" s="3" t="s">
        <v>16</v>
      </c>
      <c r="G11" s="3" t="s">
        <v>25</v>
      </c>
      <c r="H11" s="5">
        <v>45754</v>
      </c>
      <c r="I11" s="5">
        <v>33654</v>
      </c>
      <c r="J11" s="4">
        <v>8750</v>
      </c>
    </row>
    <row r="12" spans="1:10" x14ac:dyDescent="0.3">
      <c r="A12" s="3" t="s">
        <v>59</v>
      </c>
      <c r="B12" s="3" t="s">
        <v>60</v>
      </c>
      <c r="C12" s="3" t="s">
        <v>61</v>
      </c>
      <c r="D12" s="3" t="s">
        <v>58</v>
      </c>
      <c r="E12" s="3" t="s">
        <v>35</v>
      </c>
      <c r="F12" s="3" t="s">
        <v>16</v>
      </c>
      <c r="G12" s="3" t="s">
        <v>30</v>
      </c>
      <c r="H12" s="5">
        <v>45768</v>
      </c>
      <c r="I12" s="5">
        <v>36130</v>
      </c>
      <c r="J12" s="4">
        <v>11250</v>
      </c>
    </row>
    <row r="13" spans="1:10" x14ac:dyDescent="0.3">
      <c r="A13" s="3" t="s">
        <v>62</v>
      </c>
      <c r="B13" s="3" t="s">
        <v>63</v>
      </c>
      <c r="C13" s="3" t="s">
        <v>39</v>
      </c>
      <c r="D13" s="3" t="s">
        <v>64</v>
      </c>
      <c r="E13" s="3" t="s">
        <v>35</v>
      </c>
      <c r="F13" s="3" t="s">
        <v>16</v>
      </c>
      <c r="G13" s="3" t="s">
        <v>36</v>
      </c>
      <c r="H13" s="5">
        <v>45810</v>
      </c>
      <c r="I13" s="5">
        <v>32909</v>
      </c>
      <c r="J13" s="4">
        <v>10000</v>
      </c>
    </row>
    <row r="14" spans="1:10" x14ac:dyDescent="0.3">
      <c r="A14" s="3" t="s">
        <v>65</v>
      </c>
      <c r="B14" s="3" t="s">
        <v>66</v>
      </c>
      <c r="C14" s="3" t="s">
        <v>21</v>
      </c>
      <c r="D14" s="3" t="s">
        <v>67</v>
      </c>
      <c r="E14" s="3" t="s">
        <v>35</v>
      </c>
      <c r="F14" s="3" t="s">
        <v>16</v>
      </c>
      <c r="G14" s="3" t="s">
        <v>17</v>
      </c>
      <c r="H14" s="5">
        <v>45725</v>
      </c>
      <c r="I14" s="5">
        <v>36031</v>
      </c>
      <c r="J14" s="4">
        <v>16250</v>
      </c>
    </row>
    <row r="15" spans="1:10" x14ac:dyDescent="0.3">
      <c r="A15" s="3" t="s">
        <v>68</v>
      </c>
      <c r="B15" s="3" t="s">
        <v>69</v>
      </c>
      <c r="C15" s="3" t="s">
        <v>28</v>
      </c>
      <c r="D15" s="3" t="s">
        <v>64</v>
      </c>
      <c r="E15" s="3" t="s">
        <v>35</v>
      </c>
      <c r="F15" s="3" t="s">
        <v>24</v>
      </c>
      <c r="G15" s="3" t="s">
        <v>25</v>
      </c>
      <c r="H15" s="5">
        <v>45938</v>
      </c>
      <c r="I15" s="5">
        <v>35873</v>
      </c>
      <c r="J15" s="4">
        <v>6400</v>
      </c>
    </row>
    <row r="16" spans="1:10" x14ac:dyDescent="0.3">
      <c r="A16" s="3" t="s">
        <v>70</v>
      </c>
      <c r="B16" s="3" t="s">
        <v>71</v>
      </c>
      <c r="C16" s="3" t="s">
        <v>57</v>
      </c>
      <c r="D16" s="3" t="s">
        <v>22</v>
      </c>
      <c r="E16" s="3" t="s">
        <v>23</v>
      </c>
      <c r="F16" s="3" t="s">
        <v>16</v>
      </c>
      <c r="G16" s="3" t="s">
        <v>30</v>
      </c>
      <c r="H16" s="5">
        <v>45846</v>
      </c>
      <c r="I16" s="5">
        <v>36513</v>
      </c>
      <c r="J16" s="4">
        <v>4500</v>
      </c>
    </row>
    <row r="17" spans="1:10" x14ac:dyDescent="0.3">
      <c r="A17" s="3" t="s">
        <v>72</v>
      </c>
      <c r="B17" s="3" t="s">
        <v>73</v>
      </c>
      <c r="C17" s="3" t="s">
        <v>57</v>
      </c>
      <c r="D17" s="3" t="s">
        <v>64</v>
      </c>
      <c r="E17" s="3" t="s">
        <v>35</v>
      </c>
      <c r="F17" s="3" t="s">
        <v>24</v>
      </c>
      <c r="G17" s="3" t="s">
        <v>36</v>
      </c>
      <c r="H17" s="5">
        <v>45702</v>
      </c>
      <c r="I17" s="5">
        <v>35702</v>
      </c>
      <c r="J17" s="4">
        <v>6275</v>
      </c>
    </row>
    <row r="18" spans="1:10" x14ac:dyDescent="0.3">
      <c r="A18" s="3" t="s">
        <v>74</v>
      </c>
      <c r="B18" s="3" t="s">
        <v>75</v>
      </c>
      <c r="C18" s="3" t="s">
        <v>76</v>
      </c>
      <c r="D18" s="3" t="s">
        <v>14</v>
      </c>
      <c r="E18" s="3" t="s">
        <v>15</v>
      </c>
      <c r="F18" s="3" t="s">
        <v>16</v>
      </c>
      <c r="G18" s="3" t="s">
        <v>77</v>
      </c>
      <c r="H18" s="5">
        <v>45705</v>
      </c>
      <c r="I18" s="5">
        <v>37434</v>
      </c>
      <c r="J18" s="4">
        <v>6250</v>
      </c>
    </row>
    <row r="19" spans="1:10" x14ac:dyDescent="0.3">
      <c r="A19" s="3" t="s">
        <v>78</v>
      </c>
      <c r="B19" s="3" t="s">
        <v>79</v>
      </c>
      <c r="C19" s="3" t="s">
        <v>80</v>
      </c>
      <c r="D19" s="3" t="s">
        <v>14</v>
      </c>
      <c r="E19" s="3" t="s">
        <v>15</v>
      </c>
      <c r="F19" s="3" t="s">
        <v>24</v>
      </c>
      <c r="G19" s="3" t="s">
        <v>36</v>
      </c>
      <c r="H19" s="5">
        <v>45760</v>
      </c>
      <c r="I19" s="5">
        <v>36554</v>
      </c>
      <c r="J19" s="4">
        <v>8750</v>
      </c>
    </row>
    <row r="20" spans="1:10" x14ac:dyDescent="0.3">
      <c r="A20" s="3" t="s">
        <v>81</v>
      </c>
      <c r="B20" s="3" t="s">
        <v>82</v>
      </c>
      <c r="C20" s="3" t="s">
        <v>83</v>
      </c>
      <c r="D20" s="3" t="s">
        <v>84</v>
      </c>
      <c r="E20" s="3" t="s">
        <v>15</v>
      </c>
      <c r="F20" s="3" t="s">
        <v>16</v>
      </c>
      <c r="G20" s="3" t="s">
        <v>77</v>
      </c>
      <c r="H20" s="5">
        <v>45909</v>
      </c>
      <c r="I20" s="5">
        <v>35763</v>
      </c>
      <c r="J20" s="4">
        <v>11250</v>
      </c>
    </row>
    <row r="21" spans="1:10" x14ac:dyDescent="0.3">
      <c r="A21" s="3" t="s">
        <v>85</v>
      </c>
      <c r="B21" s="3" t="s">
        <v>86</v>
      </c>
      <c r="C21" s="3" t="s">
        <v>87</v>
      </c>
      <c r="D21" s="3" t="s">
        <v>29</v>
      </c>
      <c r="E21" s="3" t="s">
        <v>23</v>
      </c>
      <c r="F21" s="3" t="s">
        <v>16</v>
      </c>
      <c r="G21" s="3" t="s">
        <v>17</v>
      </c>
      <c r="H21" s="5">
        <v>45710</v>
      </c>
      <c r="I21" s="5">
        <v>33011</v>
      </c>
      <c r="J21" s="4">
        <v>10000</v>
      </c>
    </row>
  </sheetData>
  <dataValidations count="4">
    <dataValidation type="custom" allowBlank="1" showInputMessage="1" showErrorMessage="1" sqref="D2:D4 B1:B2 B4:B21" xr:uid="{887E4CF6-27D8-43C3-88AB-670EC66CA53A}">
      <formula1>ISTEXT(B1)</formula1>
    </dataValidation>
    <dataValidation type="custom" allowBlank="1" showInputMessage="1" showErrorMessage="1" sqref="A2:A22" xr:uid="{6EE80575-B67A-4C96-A798-B9E0189FF53B}">
      <formula1>COUNTIF($A$2:$A$21,A2)=1</formula1>
    </dataValidation>
    <dataValidation type="custom" allowBlank="1" showInputMessage="1" showErrorMessage="1" sqref="H2:H21" xr:uid="{6CA91E72-B29D-42A9-9F49-169941F2CF1C}">
      <formula1>WEEKDAY(H2,2)&lt;=5</formula1>
    </dataValidation>
    <dataValidation type="custom" operator="greaterThanOrEqual" allowBlank="1" showInputMessage="1" showErrorMessage="1" sqref="H1 J1" xr:uid="{BC2C65B4-3E9C-4C3C-A1B2-25630E48D2B4}">
      <formula1>ISNUMBER(H2)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BF47-EAB5-41A5-9602-5FC889353D77}">
  <dimension ref="A1:P21"/>
  <sheetViews>
    <sheetView zoomScale="120" zoomScaleNormal="120" workbookViewId="0">
      <selection activeCell="E1" sqref="E1:E1048576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6" customWidth="1"/>
    <col min="4" max="4" width="12.77734375" customWidth="1"/>
    <col min="5" max="5" width="6.77734375" bestFit="1" customWidth="1"/>
    <col min="6" max="6" width="7.109375" bestFit="1" customWidth="1"/>
    <col min="7" max="7" width="11.33203125" bestFit="1" customWidth="1"/>
    <col min="8" max="8" width="13.6640625" customWidth="1"/>
    <col min="9" max="10" width="10.33203125" bestFit="1" customWidth="1"/>
    <col min="11" max="11" width="12.88671875" customWidth="1"/>
    <col min="12" max="12" width="18.6640625" customWidth="1"/>
    <col min="13" max="13" width="14.88671875" bestFit="1" customWidth="1"/>
    <col min="14" max="14" width="14.33203125" customWidth="1"/>
    <col min="15" max="15" width="10" bestFit="1" customWidth="1"/>
    <col min="16" max="16" width="11.33203125" bestFit="1" customWidth="1"/>
    <col min="19" max="21" width="10.332031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P1" s="1" t="s">
        <v>6</v>
      </c>
    </row>
    <row r="2" spans="1:16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4">
        <v>6500</v>
      </c>
      <c r="I2" s="5">
        <v>46017</v>
      </c>
      <c r="J2" s="5">
        <v>29221</v>
      </c>
      <c r="K2" s="3">
        <v>24</v>
      </c>
      <c r="P2" s="3" t="s">
        <v>17</v>
      </c>
    </row>
    <row r="3" spans="1:16" x14ac:dyDescent="0.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>
        <v>8750</v>
      </c>
      <c r="I3" s="5">
        <v>45874</v>
      </c>
      <c r="J3" s="5">
        <v>36463</v>
      </c>
      <c r="K3" s="3">
        <v>24</v>
      </c>
      <c r="P3" s="3" t="s">
        <v>25</v>
      </c>
    </row>
    <row r="4" spans="1:16" x14ac:dyDescent="0.3">
      <c r="A4" s="3" t="s">
        <v>26</v>
      </c>
      <c r="B4" s="3" t="s">
        <v>27</v>
      </c>
      <c r="C4" s="3" t="s">
        <v>28</v>
      </c>
      <c r="D4" s="3" t="s">
        <v>29</v>
      </c>
      <c r="E4" s="3" t="s">
        <v>23</v>
      </c>
      <c r="F4" s="3" t="s">
        <v>24</v>
      </c>
      <c r="G4" s="3" t="s">
        <v>30</v>
      </c>
      <c r="H4" s="4">
        <v>11250</v>
      </c>
      <c r="I4" s="5">
        <v>45831</v>
      </c>
      <c r="J4" s="5">
        <v>33212</v>
      </c>
      <c r="K4" s="3">
        <v>33</v>
      </c>
      <c r="P4" s="3" t="s">
        <v>30</v>
      </c>
    </row>
    <row r="5" spans="1:16" x14ac:dyDescent="0.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16</v>
      </c>
      <c r="G5" s="3" t="s">
        <v>36</v>
      </c>
      <c r="H5" s="4">
        <v>10000</v>
      </c>
      <c r="I5" s="5">
        <v>46012</v>
      </c>
      <c r="J5" s="5">
        <v>37134</v>
      </c>
      <c r="K5" s="3">
        <v>22</v>
      </c>
      <c r="P5" s="3" t="s">
        <v>36</v>
      </c>
    </row>
    <row r="6" spans="1:16" x14ac:dyDescent="0.3">
      <c r="A6" s="3" t="s">
        <v>37</v>
      </c>
      <c r="B6" s="3" t="s">
        <v>38</v>
      </c>
      <c r="C6" s="3" t="s">
        <v>39</v>
      </c>
      <c r="D6" s="3" t="s">
        <v>22</v>
      </c>
      <c r="E6" s="3" t="s">
        <v>23</v>
      </c>
      <c r="F6" s="3" t="s">
        <v>16</v>
      </c>
      <c r="G6" s="3" t="s">
        <v>17</v>
      </c>
      <c r="H6" s="4">
        <v>16250</v>
      </c>
      <c r="I6" s="5">
        <v>45908</v>
      </c>
      <c r="J6" s="5">
        <v>31421</v>
      </c>
      <c r="K6" s="3">
        <v>38</v>
      </c>
      <c r="P6" s="3" t="s">
        <v>77</v>
      </c>
    </row>
    <row r="7" spans="1:16" x14ac:dyDescent="0.3">
      <c r="A7" s="3" t="s">
        <v>40</v>
      </c>
      <c r="B7" s="3" t="s">
        <v>41</v>
      </c>
      <c r="C7" s="3" t="s">
        <v>42</v>
      </c>
      <c r="D7" s="3" t="s">
        <v>43</v>
      </c>
      <c r="E7" s="3" t="s">
        <v>18</v>
      </c>
      <c r="F7" s="3" t="s">
        <v>24</v>
      </c>
      <c r="G7" s="3" t="s">
        <v>25</v>
      </c>
      <c r="H7" s="4">
        <v>6400</v>
      </c>
      <c r="I7" s="5">
        <v>45884</v>
      </c>
      <c r="J7" s="5">
        <v>37626</v>
      </c>
      <c r="K7" s="3">
        <v>21</v>
      </c>
    </row>
    <row r="8" spans="1:16" x14ac:dyDescent="0.3">
      <c r="A8" s="3" t="s">
        <v>44</v>
      </c>
      <c r="B8" s="3" t="s">
        <v>45</v>
      </c>
      <c r="C8" s="3" t="s">
        <v>46</v>
      </c>
      <c r="D8" s="3" t="s">
        <v>47</v>
      </c>
      <c r="E8" s="3" t="s">
        <v>18</v>
      </c>
      <c r="F8" s="3" t="s">
        <v>16</v>
      </c>
      <c r="G8" s="3" t="s">
        <v>30</v>
      </c>
      <c r="H8" s="4">
        <v>4500</v>
      </c>
      <c r="I8" s="5">
        <v>45736</v>
      </c>
      <c r="J8" s="5">
        <v>35073</v>
      </c>
      <c r="K8" s="3">
        <v>28</v>
      </c>
    </row>
    <row r="9" spans="1:16" x14ac:dyDescent="0.3">
      <c r="A9" s="3" t="s">
        <v>48</v>
      </c>
      <c r="B9" s="3" t="s">
        <v>49</v>
      </c>
      <c r="C9" s="3" t="s">
        <v>50</v>
      </c>
      <c r="D9" s="3" t="s">
        <v>47</v>
      </c>
      <c r="E9" s="3" t="s">
        <v>18</v>
      </c>
      <c r="F9" s="3" t="s">
        <v>24</v>
      </c>
      <c r="G9" s="3" t="s">
        <v>36</v>
      </c>
      <c r="H9" s="4">
        <v>6275</v>
      </c>
      <c r="I9" s="5">
        <v>45776</v>
      </c>
      <c r="J9" s="5">
        <v>31376</v>
      </c>
      <c r="K9" s="3">
        <v>38</v>
      </c>
    </row>
    <row r="10" spans="1:16" x14ac:dyDescent="0.3">
      <c r="A10" s="3" t="s">
        <v>51</v>
      </c>
      <c r="B10" s="3" t="s">
        <v>52</v>
      </c>
      <c r="C10" s="3" t="s">
        <v>53</v>
      </c>
      <c r="D10" s="3" t="s">
        <v>54</v>
      </c>
      <c r="E10" s="3" t="s">
        <v>15</v>
      </c>
      <c r="F10" s="3" t="s">
        <v>16</v>
      </c>
      <c r="G10" s="3" t="s">
        <v>17</v>
      </c>
      <c r="H10" s="4">
        <v>6250</v>
      </c>
      <c r="I10" s="5">
        <v>45815</v>
      </c>
      <c r="J10" s="5">
        <v>34880</v>
      </c>
      <c r="K10" s="3">
        <v>29</v>
      </c>
    </row>
    <row r="11" spans="1:16" x14ac:dyDescent="0.3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35</v>
      </c>
      <c r="F11" s="3" t="s">
        <v>16</v>
      </c>
      <c r="G11" s="3" t="s">
        <v>25</v>
      </c>
      <c r="H11" s="4">
        <v>8750</v>
      </c>
      <c r="I11" s="5">
        <v>45754</v>
      </c>
      <c r="J11" s="5">
        <v>33654</v>
      </c>
      <c r="K11" s="3">
        <v>32</v>
      </c>
    </row>
    <row r="12" spans="1:16" x14ac:dyDescent="0.3">
      <c r="A12" s="3" t="s">
        <v>59</v>
      </c>
      <c r="B12" s="3" t="s">
        <v>60</v>
      </c>
      <c r="C12" s="3" t="s">
        <v>61</v>
      </c>
      <c r="D12" s="3" t="s">
        <v>58</v>
      </c>
      <c r="E12" s="3" t="s">
        <v>35</v>
      </c>
      <c r="F12" s="3" t="s">
        <v>16</v>
      </c>
      <c r="G12" s="3" t="s">
        <v>30</v>
      </c>
      <c r="H12" s="4">
        <v>11250</v>
      </c>
      <c r="I12" s="5">
        <v>45768</v>
      </c>
      <c r="J12" s="5">
        <v>36130</v>
      </c>
      <c r="K12" s="3">
        <v>25</v>
      </c>
    </row>
    <row r="13" spans="1:16" x14ac:dyDescent="0.3">
      <c r="A13" s="3" t="s">
        <v>62</v>
      </c>
      <c r="B13" s="3" t="s">
        <v>63</v>
      </c>
      <c r="C13" s="3" t="s">
        <v>39</v>
      </c>
      <c r="D13" s="3" t="s">
        <v>64</v>
      </c>
      <c r="E13" s="3" t="s">
        <v>35</v>
      </c>
      <c r="F13" s="3" t="s">
        <v>16</v>
      </c>
      <c r="G13" s="3" t="s">
        <v>36</v>
      </c>
      <c r="H13" s="4">
        <v>10000</v>
      </c>
      <c r="I13" s="5">
        <v>45810</v>
      </c>
      <c r="J13" s="5">
        <v>32909</v>
      </c>
      <c r="K13" s="3">
        <v>34</v>
      </c>
    </row>
    <row r="14" spans="1:16" x14ac:dyDescent="0.3">
      <c r="A14" s="3" t="s">
        <v>65</v>
      </c>
      <c r="B14" s="3" t="s">
        <v>66</v>
      </c>
      <c r="C14" s="3" t="s">
        <v>21</v>
      </c>
      <c r="D14" s="3" t="s">
        <v>67</v>
      </c>
      <c r="E14" s="3" t="s">
        <v>35</v>
      </c>
      <c r="F14" s="3" t="s">
        <v>16</v>
      </c>
      <c r="G14" s="3" t="s">
        <v>17</v>
      </c>
      <c r="H14" s="4">
        <v>16250</v>
      </c>
      <c r="I14" s="5">
        <v>45725</v>
      </c>
      <c r="J14" s="5">
        <v>36031</v>
      </c>
      <c r="K14" s="3">
        <v>25</v>
      </c>
    </row>
    <row r="15" spans="1:16" x14ac:dyDescent="0.3">
      <c r="A15" s="3" t="s">
        <v>68</v>
      </c>
      <c r="B15" s="3" t="s">
        <v>69</v>
      </c>
      <c r="C15" s="3" t="s">
        <v>28</v>
      </c>
      <c r="D15" s="3" t="s">
        <v>64</v>
      </c>
      <c r="E15" s="3" t="s">
        <v>35</v>
      </c>
      <c r="F15" s="3" t="s">
        <v>24</v>
      </c>
      <c r="G15" s="3" t="s">
        <v>25</v>
      </c>
      <c r="H15" s="4">
        <v>6400</v>
      </c>
      <c r="I15" s="5">
        <v>45938</v>
      </c>
      <c r="J15" s="5">
        <v>35873</v>
      </c>
      <c r="K15" s="3">
        <v>26</v>
      </c>
    </row>
    <row r="16" spans="1:16" x14ac:dyDescent="0.3">
      <c r="A16" s="3" t="s">
        <v>70</v>
      </c>
      <c r="B16" s="3" t="s">
        <v>71</v>
      </c>
      <c r="C16" s="3" t="s">
        <v>57</v>
      </c>
      <c r="D16" s="3" t="s">
        <v>22</v>
      </c>
      <c r="E16" s="3" t="s">
        <v>23</v>
      </c>
      <c r="F16" s="3" t="s">
        <v>16</v>
      </c>
      <c r="G16" s="3" t="s">
        <v>30</v>
      </c>
      <c r="H16" s="4">
        <v>4500</v>
      </c>
      <c r="I16" s="5">
        <v>45846</v>
      </c>
      <c r="J16" s="5">
        <v>36513</v>
      </c>
      <c r="K16" s="3">
        <v>24</v>
      </c>
    </row>
    <row r="17" spans="1:11" x14ac:dyDescent="0.3">
      <c r="A17" s="3" t="s">
        <v>72</v>
      </c>
      <c r="B17" s="3" t="s">
        <v>73</v>
      </c>
      <c r="C17" s="3" t="s">
        <v>57</v>
      </c>
      <c r="D17" s="3" t="s">
        <v>64</v>
      </c>
      <c r="E17" s="3" t="s">
        <v>35</v>
      </c>
      <c r="F17" s="3" t="s">
        <v>24</v>
      </c>
      <c r="G17" s="3" t="s">
        <v>36</v>
      </c>
      <c r="H17" s="4">
        <v>6275</v>
      </c>
      <c r="I17" s="5">
        <v>45702</v>
      </c>
      <c r="J17" s="5">
        <v>35702</v>
      </c>
      <c r="K17" s="3">
        <v>26</v>
      </c>
    </row>
    <row r="18" spans="1:11" x14ac:dyDescent="0.3">
      <c r="A18" s="3" t="s">
        <v>74</v>
      </c>
      <c r="B18" s="3" t="s">
        <v>75</v>
      </c>
      <c r="C18" s="3" t="s">
        <v>76</v>
      </c>
      <c r="D18" s="3" t="s">
        <v>14</v>
      </c>
      <c r="E18" s="3" t="s">
        <v>15</v>
      </c>
      <c r="F18" s="3" t="s">
        <v>16</v>
      </c>
      <c r="G18" s="3" t="s">
        <v>77</v>
      </c>
      <c r="H18" s="4">
        <v>6250</v>
      </c>
      <c r="I18" s="5">
        <v>45705</v>
      </c>
      <c r="J18" s="5">
        <v>37434</v>
      </c>
      <c r="K18" s="3">
        <v>22</v>
      </c>
    </row>
    <row r="19" spans="1:11" x14ac:dyDescent="0.3">
      <c r="A19" s="3" t="s">
        <v>78</v>
      </c>
      <c r="B19" s="3" t="s">
        <v>79</v>
      </c>
      <c r="C19" s="3" t="s">
        <v>80</v>
      </c>
      <c r="D19" s="3" t="s">
        <v>14</v>
      </c>
      <c r="E19" s="3" t="s">
        <v>15</v>
      </c>
      <c r="F19" s="3" t="s">
        <v>24</v>
      </c>
      <c r="G19" s="3" t="s">
        <v>36</v>
      </c>
      <c r="H19" s="4">
        <v>8750</v>
      </c>
      <c r="I19" s="5">
        <v>45760</v>
      </c>
      <c r="J19" s="5">
        <v>36554</v>
      </c>
      <c r="K19" s="3">
        <v>24</v>
      </c>
    </row>
    <row r="20" spans="1:11" x14ac:dyDescent="0.3">
      <c r="A20" s="3" t="s">
        <v>81</v>
      </c>
      <c r="B20" s="3" t="s">
        <v>82</v>
      </c>
      <c r="C20" s="3" t="s">
        <v>83</v>
      </c>
      <c r="D20" s="3" t="s">
        <v>84</v>
      </c>
      <c r="E20" s="3" t="s">
        <v>15</v>
      </c>
      <c r="F20" s="3" t="s">
        <v>16</v>
      </c>
      <c r="G20" s="3" t="s">
        <v>77</v>
      </c>
      <c r="H20" s="4">
        <v>11250</v>
      </c>
      <c r="I20" s="5">
        <v>45909</v>
      </c>
      <c r="J20" s="5">
        <v>35763</v>
      </c>
      <c r="K20" s="3">
        <v>26</v>
      </c>
    </row>
    <row r="21" spans="1:11" x14ac:dyDescent="0.3">
      <c r="A21" s="3" t="s">
        <v>85</v>
      </c>
      <c r="B21" s="3" t="s">
        <v>86</v>
      </c>
      <c r="C21" s="3" t="s">
        <v>87</v>
      </c>
      <c r="D21" s="3" t="s">
        <v>29</v>
      </c>
      <c r="E21" s="3" t="s">
        <v>23</v>
      </c>
      <c r="F21" s="3" t="s">
        <v>16</v>
      </c>
      <c r="G21" s="3" t="s">
        <v>17</v>
      </c>
      <c r="H21" s="4">
        <v>10000</v>
      </c>
      <c r="I21" s="5">
        <v>45710</v>
      </c>
      <c r="J21" s="5">
        <v>33011</v>
      </c>
      <c r="K21" s="3">
        <v>34</v>
      </c>
    </row>
  </sheetData>
  <dataValidations count="2">
    <dataValidation type="custom" allowBlank="1" showInputMessage="1" showErrorMessage="1" sqref="B1" xr:uid="{38341019-CE9F-4CAD-9BE3-0FB84302067C}">
      <formula1>ISTEXT(B1)</formula1>
    </dataValidation>
    <dataValidation type="custom" operator="greaterThanOrEqual" allowBlank="1" showInputMessage="1" showErrorMessage="1" sqref="H1:I1" xr:uid="{35C56F1E-FA5E-43DB-81AB-1BB25DEDDDF5}">
      <formula1>ISNUMBER(H2)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8F9A-1C96-42B4-B3C2-D44F2F8D2F9A}">
  <dimension ref="A1:U11"/>
  <sheetViews>
    <sheetView zoomScale="120" zoomScaleNormal="120" workbookViewId="0">
      <selection activeCell="G16" sqref="G16"/>
    </sheetView>
  </sheetViews>
  <sheetFormatPr defaultRowHeight="14.4" x14ac:dyDescent="0.3"/>
  <cols>
    <col min="1" max="1" width="14.88671875" bestFit="1" customWidth="1"/>
    <col min="2" max="2" width="12.6640625" bestFit="1" customWidth="1"/>
    <col min="3" max="3" width="13.88671875" bestFit="1" customWidth="1"/>
    <col min="4" max="5" width="10.33203125" bestFit="1" customWidth="1"/>
    <col min="6" max="6" width="13.21875" bestFit="1" customWidth="1"/>
    <col min="7" max="7" width="13.77734375" bestFit="1" customWidth="1"/>
    <col min="8" max="8" width="12.33203125" bestFit="1" customWidth="1"/>
    <col min="9" max="9" width="10.33203125" bestFit="1" customWidth="1"/>
    <col min="10" max="10" width="11.21875" bestFit="1" customWidth="1"/>
    <col min="11" max="11" width="12" bestFit="1" customWidth="1"/>
    <col min="12" max="12" width="12.109375" bestFit="1" customWidth="1"/>
    <col min="13" max="13" width="13.21875" bestFit="1" customWidth="1"/>
    <col min="14" max="14" width="10.33203125" bestFit="1" customWidth="1"/>
    <col min="15" max="15" width="11.33203125" bestFit="1" customWidth="1"/>
    <col min="16" max="16" width="13.5546875" bestFit="1" customWidth="1"/>
    <col min="17" max="17" width="12.33203125" bestFit="1" customWidth="1"/>
    <col min="18" max="18" width="10.44140625" bestFit="1" customWidth="1"/>
    <col min="19" max="19" width="11.109375" bestFit="1" customWidth="1"/>
    <col min="20" max="20" width="12" bestFit="1" customWidth="1"/>
    <col min="21" max="21" width="14.5546875" bestFit="1" customWidth="1"/>
  </cols>
  <sheetData>
    <row r="1" spans="1:21" x14ac:dyDescent="0.3">
      <c r="A1" s="1" t="s">
        <v>0</v>
      </c>
      <c r="B1" s="3">
        <v>7</v>
      </c>
      <c r="C1" s="3">
        <v>15</v>
      </c>
      <c r="D1" s="3">
        <v>9</v>
      </c>
      <c r="E1" s="3">
        <v>17</v>
      </c>
      <c r="F1" s="3">
        <v>8</v>
      </c>
      <c r="G1" s="3">
        <v>16</v>
      </c>
      <c r="H1" s="3">
        <v>6</v>
      </c>
      <c r="I1" s="3">
        <v>14</v>
      </c>
      <c r="J1" s="3">
        <v>1</v>
      </c>
      <c r="K1" s="3">
        <v>2</v>
      </c>
      <c r="L1" s="3">
        <v>10</v>
      </c>
      <c r="M1" s="3">
        <v>18</v>
      </c>
      <c r="N1" s="3">
        <v>4</v>
      </c>
      <c r="O1" s="3">
        <v>12</v>
      </c>
      <c r="P1" s="3">
        <v>20</v>
      </c>
      <c r="Q1" s="3">
        <v>3</v>
      </c>
      <c r="R1" s="3">
        <v>11</v>
      </c>
      <c r="S1" s="3">
        <v>19</v>
      </c>
      <c r="T1" s="3">
        <v>5</v>
      </c>
      <c r="U1" s="3">
        <v>13</v>
      </c>
    </row>
    <row r="2" spans="1:21" x14ac:dyDescent="0.3">
      <c r="A2" s="1" t="s">
        <v>1</v>
      </c>
      <c r="B2" s="3" t="s">
        <v>45</v>
      </c>
      <c r="C2" s="3" t="s">
        <v>71</v>
      </c>
      <c r="D2" s="3" t="s">
        <v>52</v>
      </c>
      <c r="E2" s="3" t="s">
        <v>75</v>
      </c>
      <c r="F2" s="3" t="s">
        <v>49</v>
      </c>
      <c r="G2" s="3" t="s">
        <v>73</v>
      </c>
      <c r="H2" s="3" t="s">
        <v>41</v>
      </c>
      <c r="I2" s="3" t="s">
        <v>69</v>
      </c>
      <c r="J2" s="3" t="s">
        <v>12</v>
      </c>
      <c r="K2" s="3" t="s">
        <v>20</v>
      </c>
      <c r="L2" s="3" t="s">
        <v>56</v>
      </c>
      <c r="M2" s="3" t="s">
        <v>79</v>
      </c>
      <c r="N2" s="3" t="s">
        <v>32</v>
      </c>
      <c r="O2" s="3" t="s">
        <v>63</v>
      </c>
      <c r="P2" s="3" t="s">
        <v>86</v>
      </c>
      <c r="Q2" s="3" t="s">
        <v>27</v>
      </c>
      <c r="R2" s="3" t="s">
        <v>60</v>
      </c>
      <c r="S2" s="3" t="s">
        <v>82</v>
      </c>
      <c r="T2" s="3" t="s">
        <v>38</v>
      </c>
      <c r="U2" s="3" t="s">
        <v>66</v>
      </c>
    </row>
    <row r="3" spans="1:21" x14ac:dyDescent="0.3">
      <c r="A3" s="1" t="s">
        <v>2</v>
      </c>
      <c r="B3" s="3" t="s">
        <v>46</v>
      </c>
      <c r="C3" s="3" t="s">
        <v>57</v>
      </c>
      <c r="D3" s="3" t="s">
        <v>53</v>
      </c>
      <c r="E3" s="3" t="s">
        <v>76</v>
      </c>
      <c r="F3" s="3" t="s">
        <v>50</v>
      </c>
      <c r="G3" s="3" t="s">
        <v>57</v>
      </c>
      <c r="H3" s="3" t="s">
        <v>42</v>
      </c>
      <c r="I3" s="3" t="s">
        <v>28</v>
      </c>
      <c r="J3" s="3" t="s">
        <v>13</v>
      </c>
      <c r="K3" s="3" t="s">
        <v>21</v>
      </c>
      <c r="L3" s="3" t="s">
        <v>57</v>
      </c>
      <c r="M3" s="3" t="s">
        <v>80</v>
      </c>
      <c r="N3" s="3" t="s">
        <v>33</v>
      </c>
      <c r="O3" s="3" t="s">
        <v>39</v>
      </c>
      <c r="P3" s="3" t="s">
        <v>87</v>
      </c>
      <c r="Q3" s="3" t="s">
        <v>28</v>
      </c>
      <c r="R3" s="3" t="s">
        <v>61</v>
      </c>
      <c r="S3" s="3" t="s">
        <v>83</v>
      </c>
      <c r="T3" s="3" t="s">
        <v>39</v>
      </c>
      <c r="U3" s="3" t="s">
        <v>21</v>
      </c>
    </row>
    <row r="4" spans="1:21" x14ac:dyDescent="0.3">
      <c r="A4" s="1" t="s">
        <v>3</v>
      </c>
      <c r="B4" s="3" t="s">
        <v>47</v>
      </c>
      <c r="C4" s="3" t="s">
        <v>22</v>
      </c>
      <c r="D4" s="3" t="s">
        <v>54</v>
      </c>
      <c r="E4" s="3" t="s">
        <v>14</v>
      </c>
      <c r="F4" s="3" t="s">
        <v>47</v>
      </c>
      <c r="G4" s="3" t="s">
        <v>64</v>
      </c>
      <c r="H4" s="3" t="s">
        <v>43</v>
      </c>
      <c r="I4" s="3" t="s">
        <v>64</v>
      </c>
      <c r="J4" s="3" t="s">
        <v>14</v>
      </c>
      <c r="K4" s="3" t="s">
        <v>22</v>
      </c>
      <c r="L4" s="3" t="s">
        <v>58</v>
      </c>
      <c r="M4" s="3" t="s">
        <v>14</v>
      </c>
      <c r="N4" s="3" t="s">
        <v>34</v>
      </c>
      <c r="O4" s="3" t="s">
        <v>64</v>
      </c>
      <c r="P4" s="3" t="s">
        <v>29</v>
      </c>
      <c r="Q4" s="3" t="s">
        <v>29</v>
      </c>
      <c r="R4" s="3" t="s">
        <v>58</v>
      </c>
      <c r="S4" s="3" t="s">
        <v>84</v>
      </c>
      <c r="T4" s="3" t="s">
        <v>22</v>
      </c>
      <c r="U4" s="3" t="s">
        <v>67</v>
      </c>
    </row>
    <row r="5" spans="1:21" x14ac:dyDescent="0.3">
      <c r="A5" s="1" t="s">
        <v>4</v>
      </c>
      <c r="B5" s="3" t="s">
        <v>18</v>
      </c>
      <c r="C5" s="3" t="s">
        <v>23</v>
      </c>
      <c r="D5" s="3" t="s">
        <v>15</v>
      </c>
      <c r="E5" s="3" t="s">
        <v>15</v>
      </c>
      <c r="F5" s="3" t="s">
        <v>18</v>
      </c>
      <c r="G5" s="3" t="s">
        <v>35</v>
      </c>
      <c r="H5" s="3" t="s">
        <v>18</v>
      </c>
      <c r="I5" s="3" t="s">
        <v>35</v>
      </c>
      <c r="J5" s="3" t="s">
        <v>15</v>
      </c>
      <c r="K5" s="3" t="s">
        <v>23</v>
      </c>
      <c r="L5" s="3" t="s">
        <v>35</v>
      </c>
      <c r="M5" s="3" t="s">
        <v>15</v>
      </c>
      <c r="N5" s="3" t="s">
        <v>35</v>
      </c>
      <c r="O5" s="3" t="s">
        <v>35</v>
      </c>
      <c r="P5" s="3" t="s">
        <v>23</v>
      </c>
      <c r="Q5" s="3" t="s">
        <v>23</v>
      </c>
      <c r="R5" s="3" t="s">
        <v>35</v>
      </c>
      <c r="S5" s="3" t="s">
        <v>15</v>
      </c>
      <c r="T5" s="3" t="s">
        <v>23</v>
      </c>
      <c r="U5" s="3" t="s">
        <v>35</v>
      </c>
    </row>
    <row r="6" spans="1:21" x14ac:dyDescent="0.3">
      <c r="A6" s="1" t="s">
        <v>5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16</v>
      </c>
      <c r="K6" s="3" t="s">
        <v>24</v>
      </c>
      <c r="L6" s="3" t="s">
        <v>16</v>
      </c>
      <c r="M6" s="3" t="s">
        <v>24</v>
      </c>
      <c r="N6" s="3" t="s">
        <v>16</v>
      </c>
      <c r="O6" s="3" t="s">
        <v>16</v>
      </c>
      <c r="P6" s="3" t="s">
        <v>16</v>
      </c>
      <c r="Q6" s="3" t="s">
        <v>24</v>
      </c>
      <c r="R6" s="3" t="s">
        <v>16</v>
      </c>
      <c r="S6" s="3" t="s">
        <v>16</v>
      </c>
      <c r="T6" s="3" t="s">
        <v>16</v>
      </c>
      <c r="U6" s="3" t="s">
        <v>16</v>
      </c>
    </row>
    <row r="7" spans="1:21" x14ac:dyDescent="0.3">
      <c r="A7" s="1" t="s">
        <v>6</v>
      </c>
      <c r="B7" s="3" t="s">
        <v>30</v>
      </c>
      <c r="C7" s="3" t="s">
        <v>30</v>
      </c>
      <c r="D7" s="3" t="s">
        <v>17</v>
      </c>
      <c r="E7" s="3" t="s">
        <v>77</v>
      </c>
      <c r="F7" s="3" t="s">
        <v>36</v>
      </c>
      <c r="G7" s="3" t="s">
        <v>36</v>
      </c>
      <c r="H7" s="3" t="s">
        <v>25</v>
      </c>
      <c r="I7" s="3" t="s">
        <v>25</v>
      </c>
      <c r="J7" s="3" t="s">
        <v>17</v>
      </c>
      <c r="K7" s="3" t="s">
        <v>25</v>
      </c>
      <c r="L7" s="3" t="s">
        <v>25</v>
      </c>
      <c r="M7" s="3" t="s">
        <v>36</v>
      </c>
      <c r="N7" s="3" t="s">
        <v>36</v>
      </c>
      <c r="O7" s="3" t="s">
        <v>36</v>
      </c>
      <c r="P7" s="3" t="s">
        <v>17</v>
      </c>
      <c r="Q7" s="3" t="s">
        <v>30</v>
      </c>
      <c r="R7" s="3" t="s">
        <v>30</v>
      </c>
      <c r="S7" s="3" t="s">
        <v>77</v>
      </c>
      <c r="T7" s="3" t="s">
        <v>17</v>
      </c>
      <c r="U7" s="3" t="s">
        <v>17</v>
      </c>
    </row>
    <row r="8" spans="1:21" x14ac:dyDescent="0.3">
      <c r="A8" s="2" t="s">
        <v>7</v>
      </c>
      <c r="B8" s="6">
        <v>4500</v>
      </c>
      <c r="C8" s="6">
        <v>4500</v>
      </c>
      <c r="D8" s="6">
        <v>6250</v>
      </c>
      <c r="E8" s="6">
        <v>6250</v>
      </c>
      <c r="F8" s="6">
        <v>6275</v>
      </c>
      <c r="G8" s="6">
        <v>6275</v>
      </c>
      <c r="H8" s="6">
        <v>6400</v>
      </c>
      <c r="I8" s="6">
        <v>6400</v>
      </c>
      <c r="J8" s="6">
        <v>6500</v>
      </c>
      <c r="K8" s="6">
        <v>8750</v>
      </c>
      <c r="L8" s="6">
        <v>8750</v>
      </c>
      <c r="M8" s="6">
        <v>8750</v>
      </c>
      <c r="N8" s="6">
        <v>10000</v>
      </c>
      <c r="O8" s="6">
        <v>10000</v>
      </c>
      <c r="P8" s="6">
        <v>10000</v>
      </c>
      <c r="Q8" s="6">
        <v>11250</v>
      </c>
      <c r="R8" s="6">
        <v>11250</v>
      </c>
      <c r="S8" s="6">
        <v>11250</v>
      </c>
      <c r="T8" s="6">
        <v>16250</v>
      </c>
      <c r="U8" s="6">
        <v>16250</v>
      </c>
    </row>
    <row r="9" spans="1:21" x14ac:dyDescent="0.3">
      <c r="A9" s="2" t="s">
        <v>8</v>
      </c>
      <c r="B9" s="5">
        <v>45371</v>
      </c>
      <c r="C9" s="5">
        <v>45481</v>
      </c>
      <c r="D9" s="5">
        <v>45450</v>
      </c>
      <c r="E9" s="5">
        <v>45339</v>
      </c>
      <c r="F9" s="5">
        <v>45411</v>
      </c>
      <c r="G9" s="5">
        <v>45336</v>
      </c>
      <c r="H9" s="5">
        <v>45519</v>
      </c>
      <c r="I9" s="5">
        <v>45390</v>
      </c>
      <c r="J9" s="5">
        <v>45469</v>
      </c>
      <c r="K9" s="5">
        <v>45509</v>
      </c>
      <c r="L9" s="5">
        <v>45389</v>
      </c>
      <c r="M9" s="5">
        <v>45395</v>
      </c>
      <c r="N9" s="5">
        <v>45403</v>
      </c>
      <c r="O9" s="5">
        <v>45445</v>
      </c>
      <c r="P9" s="5">
        <v>45344</v>
      </c>
      <c r="Q9" s="5">
        <v>45466</v>
      </c>
      <c r="R9" s="5">
        <v>45403</v>
      </c>
      <c r="S9" s="5">
        <v>45544</v>
      </c>
      <c r="T9" s="5">
        <v>45543</v>
      </c>
      <c r="U9" s="5">
        <v>45360</v>
      </c>
    </row>
    <row r="10" spans="1:21" x14ac:dyDescent="0.3">
      <c r="A10" s="1" t="s">
        <v>9</v>
      </c>
      <c r="B10" s="5">
        <v>35073</v>
      </c>
      <c r="C10" s="5">
        <v>36513</v>
      </c>
      <c r="D10" s="5">
        <v>34880</v>
      </c>
      <c r="E10" s="5">
        <v>37434</v>
      </c>
      <c r="F10" s="5">
        <v>31376</v>
      </c>
      <c r="G10" s="5">
        <v>35702</v>
      </c>
      <c r="H10" s="5">
        <v>37626</v>
      </c>
      <c r="I10" s="5">
        <v>35873</v>
      </c>
      <c r="J10" s="5">
        <v>34700</v>
      </c>
      <c r="K10" s="5">
        <v>36463</v>
      </c>
      <c r="L10" s="5">
        <v>33654</v>
      </c>
      <c r="M10" s="5">
        <v>36554</v>
      </c>
      <c r="N10" s="5">
        <v>37134</v>
      </c>
      <c r="O10" s="5">
        <v>32909</v>
      </c>
      <c r="P10" s="5">
        <v>33011</v>
      </c>
      <c r="Q10" s="5">
        <v>33212</v>
      </c>
      <c r="R10" s="5">
        <v>36130</v>
      </c>
      <c r="S10" s="5">
        <v>35763</v>
      </c>
      <c r="T10" s="5">
        <v>31421</v>
      </c>
      <c r="U10" s="5">
        <v>36031</v>
      </c>
    </row>
    <row r="11" spans="1:21" x14ac:dyDescent="0.3">
      <c r="A11" s="1" t="s">
        <v>10</v>
      </c>
      <c r="B11" s="3">
        <v>28</v>
      </c>
      <c r="C11" s="3">
        <v>24</v>
      </c>
      <c r="D11" s="3">
        <v>29</v>
      </c>
      <c r="E11" s="3">
        <v>22</v>
      </c>
      <c r="F11" s="3">
        <v>38</v>
      </c>
      <c r="G11" s="3">
        <v>26</v>
      </c>
      <c r="H11" s="3">
        <v>21</v>
      </c>
      <c r="I11" s="3">
        <v>26</v>
      </c>
      <c r="J11" s="3">
        <v>29</v>
      </c>
      <c r="K11" s="3">
        <v>24</v>
      </c>
      <c r="L11" s="3">
        <v>32</v>
      </c>
      <c r="M11" s="3">
        <v>24</v>
      </c>
      <c r="N11" s="3">
        <v>22</v>
      </c>
      <c r="O11" s="3">
        <v>34</v>
      </c>
      <c r="P11" s="3">
        <v>34</v>
      </c>
      <c r="Q11" s="3">
        <v>33</v>
      </c>
      <c r="R11" s="3">
        <v>25</v>
      </c>
      <c r="S11" s="3">
        <v>26</v>
      </c>
      <c r="T11" s="3">
        <v>38</v>
      </c>
      <c r="U11" s="3">
        <v>25</v>
      </c>
    </row>
  </sheetData>
  <dataValidations count="3">
    <dataValidation type="custom" operator="greaterThanOrEqual" allowBlank="1" showInputMessage="1" showErrorMessage="1" sqref="B8:U9" xr:uid="{0F92A922-C37E-42E1-98E2-BF16DAEB6372}">
      <formula1>ISNUMBER(B8)</formula1>
    </dataValidation>
    <dataValidation type="custom" allowBlank="1" showInputMessage="1" showErrorMessage="1" sqref="A2:U2" xr:uid="{7BE90A3D-F2EB-4D6B-922A-1C20188E3385}">
      <formula1>ISTEXT(A2)</formula1>
    </dataValidation>
    <dataValidation type="custom" operator="greaterThanOrEqual" allowBlank="1" showInputMessage="1" showErrorMessage="1" sqref="A8:A9" xr:uid="{DE1D6189-DB55-47E5-8324-76726F75B8E3}">
      <formula1>ISNUMBER(A9)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35D-3838-4746-A5BA-56936F7E3D3B}">
  <dimension ref="A3:K23"/>
  <sheetViews>
    <sheetView topLeftCell="A3" zoomScale="120" zoomScaleNormal="120" workbookViewId="0">
      <selection activeCell="N18" sqref="N18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4.33203125" customWidth="1"/>
    <col min="4" max="4" width="10" bestFit="1" customWidth="1"/>
    <col min="5" max="5" width="6.6640625" bestFit="1" customWidth="1"/>
    <col min="6" max="6" width="9.88671875" customWidth="1"/>
    <col min="7" max="7" width="11.33203125" bestFit="1" customWidth="1"/>
    <col min="8" max="8" width="14.6640625" customWidth="1"/>
    <col min="9" max="10" width="10.33203125" bestFit="1" customWidth="1"/>
    <col min="11" max="11" width="4.33203125" bestFit="1" customWidth="1"/>
    <col min="12" max="12" width="13.88671875" customWidth="1"/>
    <col min="13" max="13" width="9.5546875" bestFit="1" customWidth="1"/>
    <col min="14" max="14" width="14.88671875" bestFit="1" customWidth="1"/>
    <col min="15" max="15" width="10.5546875" bestFit="1" customWidth="1"/>
    <col min="16" max="16" width="10" bestFit="1" customWidth="1"/>
    <col min="17" max="17" width="6.6640625" bestFit="1" customWidth="1"/>
    <col min="18" max="18" width="11.33203125" bestFit="1" customWidth="1"/>
    <col min="19" max="19" width="6.44140625" bestFit="1" customWidth="1"/>
    <col min="20" max="21" width="10.33203125" bestFit="1" customWidth="1"/>
    <col min="22" max="22" width="4.33203125" bestFit="1" customWidth="1"/>
  </cols>
  <sheetData>
    <row r="3" spans="1:1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1" t="s">
        <v>9</v>
      </c>
      <c r="K3" s="1" t="s">
        <v>10</v>
      </c>
    </row>
    <row r="4" spans="1:11" x14ac:dyDescent="0.3">
      <c r="A4" s="3">
        <v>1</v>
      </c>
      <c r="B4" s="3" t="s">
        <v>12</v>
      </c>
      <c r="C4" s="3" t="s">
        <v>13</v>
      </c>
      <c r="D4" s="3" t="s">
        <v>54</v>
      </c>
      <c r="E4" s="7" t="s">
        <v>15</v>
      </c>
      <c r="F4" s="3" t="s">
        <v>16</v>
      </c>
      <c r="G4" s="3" t="s">
        <v>17</v>
      </c>
      <c r="H4" s="6">
        <v>6500</v>
      </c>
      <c r="I4" s="5">
        <v>45469</v>
      </c>
      <c r="J4" s="5">
        <v>34700</v>
      </c>
      <c r="K4" s="3">
        <v>29</v>
      </c>
    </row>
    <row r="5" spans="1:11" x14ac:dyDescent="0.3">
      <c r="A5" s="3">
        <v>2</v>
      </c>
      <c r="B5" s="3" t="s">
        <v>20</v>
      </c>
      <c r="C5" s="3" t="s">
        <v>21</v>
      </c>
      <c r="D5" s="8" t="s">
        <v>22</v>
      </c>
      <c r="E5" s="9" t="s">
        <v>23</v>
      </c>
      <c r="F5" s="3" t="s">
        <v>24</v>
      </c>
      <c r="G5" s="3" t="s">
        <v>25</v>
      </c>
      <c r="H5" s="6">
        <v>8750</v>
      </c>
      <c r="I5" s="5">
        <v>45509</v>
      </c>
      <c r="J5" s="5">
        <v>36463</v>
      </c>
      <c r="K5" s="3">
        <v>24</v>
      </c>
    </row>
    <row r="6" spans="1:11" x14ac:dyDescent="0.3">
      <c r="A6" s="3">
        <v>3</v>
      </c>
      <c r="B6" s="3" t="s">
        <v>27</v>
      </c>
      <c r="C6" s="3" t="s">
        <v>28</v>
      </c>
      <c r="D6" s="10" t="s">
        <v>29</v>
      </c>
      <c r="E6" s="11" t="s">
        <v>23</v>
      </c>
      <c r="F6" s="3" t="s">
        <v>24</v>
      </c>
      <c r="G6" s="3" t="s">
        <v>30</v>
      </c>
      <c r="H6" s="6">
        <v>11250</v>
      </c>
      <c r="I6" s="5">
        <v>45466</v>
      </c>
      <c r="J6" s="5">
        <v>33212</v>
      </c>
      <c r="K6" s="3">
        <v>33</v>
      </c>
    </row>
    <row r="7" spans="1:11" x14ac:dyDescent="0.3">
      <c r="A7" s="3">
        <v>4</v>
      </c>
      <c r="B7" s="3" t="s">
        <v>32</v>
      </c>
      <c r="C7" s="3" t="s">
        <v>33</v>
      </c>
      <c r="D7" s="3" t="s">
        <v>34</v>
      </c>
      <c r="E7" s="7" t="s">
        <v>35</v>
      </c>
      <c r="F7" s="3" t="s">
        <v>16</v>
      </c>
      <c r="G7" s="3" t="s">
        <v>36</v>
      </c>
      <c r="H7" s="6">
        <v>10000</v>
      </c>
      <c r="I7" s="5">
        <v>45403</v>
      </c>
      <c r="J7" s="5">
        <v>37134</v>
      </c>
      <c r="K7" s="3">
        <v>22</v>
      </c>
    </row>
    <row r="8" spans="1:11" x14ac:dyDescent="0.3">
      <c r="A8" s="3">
        <v>5</v>
      </c>
      <c r="B8" s="3" t="s">
        <v>38</v>
      </c>
      <c r="C8" s="3" t="s">
        <v>39</v>
      </c>
      <c r="D8" s="12" t="s">
        <v>22</v>
      </c>
      <c r="E8" s="13" t="s">
        <v>23</v>
      </c>
      <c r="F8" s="3" t="s">
        <v>16</v>
      </c>
      <c r="G8" s="3" t="s">
        <v>17</v>
      </c>
      <c r="H8" s="6">
        <v>16250</v>
      </c>
      <c r="I8" s="5">
        <v>45543</v>
      </c>
      <c r="J8" s="5">
        <v>31421</v>
      </c>
      <c r="K8" s="3">
        <v>38</v>
      </c>
    </row>
    <row r="9" spans="1:11" x14ac:dyDescent="0.3">
      <c r="A9" s="3">
        <v>6</v>
      </c>
      <c r="B9" s="3" t="s">
        <v>41</v>
      </c>
      <c r="C9" s="3" t="s">
        <v>42</v>
      </c>
      <c r="D9" s="3" t="s">
        <v>43</v>
      </c>
      <c r="E9" s="13" t="s">
        <v>18</v>
      </c>
      <c r="F9" s="3" t="s">
        <v>24</v>
      </c>
      <c r="G9" s="3" t="s">
        <v>25</v>
      </c>
      <c r="H9" s="6">
        <v>6400</v>
      </c>
      <c r="I9" s="5">
        <v>45519</v>
      </c>
      <c r="J9" s="5">
        <v>37626</v>
      </c>
      <c r="K9" s="3">
        <v>21</v>
      </c>
    </row>
    <row r="10" spans="1:11" x14ac:dyDescent="0.3">
      <c r="A10" s="3">
        <v>7</v>
      </c>
      <c r="B10" s="3" t="s">
        <v>45</v>
      </c>
      <c r="C10" s="3" t="s">
        <v>46</v>
      </c>
      <c r="D10" s="3" t="s">
        <v>47</v>
      </c>
      <c r="E10" s="11" t="s">
        <v>18</v>
      </c>
      <c r="F10" s="3" t="s">
        <v>16</v>
      </c>
      <c r="G10" s="3" t="s">
        <v>30</v>
      </c>
      <c r="H10" s="6">
        <v>4500</v>
      </c>
      <c r="I10" s="5">
        <v>45371</v>
      </c>
      <c r="J10" s="5">
        <v>35073</v>
      </c>
      <c r="K10" s="3">
        <v>28</v>
      </c>
    </row>
    <row r="11" spans="1:11" x14ac:dyDescent="0.3">
      <c r="A11" s="3">
        <v>8</v>
      </c>
      <c r="B11" s="3" t="s">
        <v>49</v>
      </c>
      <c r="C11" s="3" t="s">
        <v>50</v>
      </c>
      <c r="D11" s="3" t="s">
        <v>47</v>
      </c>
      <c r="E11" s="9" t="s">
        <v>18</v>
      </c>
      <c r="F11" s="3" t="s">
        <v>24</v>
      </c>
      <c r="G11" s="3" t="s">
        <v>36</v>
      </c>
      <c r="H11" s="6">
        <v>6275</v>
      </c>
      <c r="I11" s="5">
        <v>45411</v>
      </c>
      <c r="J11" s="5">
        <v>31376</v>
      </c>
      <c r="K11" s="3">
        <v>38</v>
      </c>
    </row>
    <row r="12" spans="1:11" x14ac:dyDescent="0.3">
      <c r="A12" s="3">
        <v>9</v>
      </c>
      <c r="B12" s="3" t="s">
        <v>52</v>
      </c>
      <c r="C12" s="3" t="s">
        <v>53</v>
      </c>
      <c r="D12" s="3" t="s">
        <v>54</v>
      </c>
      <c r="E12" s="7" t="s">
        <v>15</v>
      </c>
      <c r="F12" s="3" t="s">
        <v>16</v>
      </c>
      <c r="G12" s="3" t="s">
        <v>17</v>
      </c>
      <c r="H12" s="6">
        <v>6250</v>
      </c>
      <c r="I12" s="5">
        <v>45450</v>
      </c>
      <c r="J12" s="5">
        <v>34880</v>
      </c>
      <c r="K12" s="3">
        <v>29</v>
      </c>
    </row>
    <row r="13" spans="1:11" x14ac:dyDescent="0.3">
      <c r="A13" s="3">
        <v>10</v>
      </c>
      <c r="B13" s="3" t="s">
        <v>56</v>
      </c>
      <c r="C13" s="3" t="s">
        <v>57</v>
      </c>
      <c r="D13" s="8" t="s">
        <v>58</v>
      </c>
      <c r="E13" s="13" t="s">
        <v>35</v>
      </c>
      <c r="F13" s="3" t="s">
        <v>16</v>
      </c>
      <c r="G13" s="3" t="s">
        <v>25</v>
      </c>
      <c r="H13" s="6">
        <v>8750</v>
      </c>
      <c r="I13" s="5">
        <v>45389</v>
      </c>
      <c r="J13" s="5">
        <v>33654</v>
      </c>
      <c r="K13" s="3">
        <v>32</v>
      </c>
    </row>
    <row r="14" spans="1:11" x14ac:dyDescent="0.3">
      <c r="A14" s="3">
        <v>11</v>
      </c>
      <c r="B14" s="3" t="s">
        <v>60</v>
      </c>
      <c r="C14" s="3" t="s">
        <v>61</v>
      </c>
      <c r="D14" s="10" t="s">
        <v>58</v>
      </c>
      <c r="E14" s="11" t="s">
        <v>35</v>
      </c>
      <c r="F14" s="3" t="s">
        <v>16</v>
      </c>
      <c r="G14" s="3" t="s">
        <v>30</v>
      </c>
      <c r="H14" s="6">
        <v>11250</v>
      </c>
      <c r="I14" s="5">
        <v>45403</v>
      </c>
      <c r="J14" s="5">
        <v>36130</v>
      </c>
      <c r="K14" s="3">
        <v>25</v>
      </c>
    </row>
    <row r="15" spans="1:11" x14ac:dyDescent="0.3">
      <c r="A15" s="3">
        <v>12</v>
      </c>
      <c r="B15" s="3" t="s">
        <v>63</v>
      </c>
      <c r="C15" s="3" t="s">
        <v>39</v>
      </c>
      <c r="D15" s="12" t="s">
        <v>64</v>
      </c>
      <c r="E15" s="9" t="s">
        <v>35</v>
      </c>
      <c r="F15" s="3" t="s">
        <v>16</v>
      </c>
      <c r="G15" s="3" t="s">
        <v>36</v>
      </c>
      <c r="H15" s="6">
        <v>10000</v>
      </c>
      <c r="I15" s="5">
        <v>45445</v>
      </c>
      <c r="J15" s="5">
        <v>32909</v>
      </c>
      <c r="K15" s="3">
        <v>34</v>
      </c>
    </row>
    <row r="16" spans="1:11" x14ac:dyDescent="0.3">
      <c r="A16" s="3">
        <v>13</v>
      </c>
      <c r="B16" s="3" t="s">
        <v>66</v>
      </c>
      <c r="C16" s="3" t="s">
        <v>21</v>
      </c>
      <c r="D16" s="8" t="s">
        <v>67</v>
      </c>
      <c r="E16" s="7" t="s">
        <v>35</v>
      </c>
      <c r="F16" s="3" t="s">
        <v>16</v>
      </c>
      <c r="G16" s="3" t="s">
        <v>17</v>
      </c>
      <c r="H16" s="6">
        <v>16250</v>
      </c>
      <c r="I16" s="5">
        <v>45360</v>
      </c>
      <c r="J16" s="5">
        <v>36031</v>
      </c>
      <c r="K16" s="3">
        <v>25</v>
      </c>
    </row>
    <row r="17" spans="1:11" x14ac:dyDescent="0.3">
      <c r="A17" s="3">
        <v>14</v>
      </c>
      <c r="B17" s="3" t="s">
        <v>69</v>
      </c>
      <c r="C17" s="3" t="s">
        <v>28</v>
      </c>
      <c r="D17" s="3" t="s">
        <v>64</v>
      </c>
      <c r="E17" s="7" t="s">
        <v>35</v>
      </c>
      <c r="F17" s="3" t="s">
        <v>24</v>
      </c>
      <c r="G17" s="3" t="s">
        <v>25</v>
      </c>
      <c r="H17" s="6">
        <v>6400</v>
      </c>
      <c r="I17" s="5">
        <v>45390</v>
      </c>
      <c r="J17" s="5">
        <v>35873</v>
      </c>
      <c r="K17" s="3">
        <v>26</v>
      </c>
    </row>
    <row r="18" spans="1:11" x14ac:dyDescent="0.3">
      <c r="A18" s="3">
        <v>15</v>
      </c>
      <c r="B18" s="3" t="s">
        <v>71</v>
      </c>
      <c r="C18" s="3" t="s">
        <v>57</v>
      </c>
      <c r="D18" s="10" t="s">
        <v>22</v>
      </c>
      <c r="E18" s="7" t="s">
        <v>23</v>
      </c>
      <c r="F18" s="3" t="s">
        <v>16</v>
      </c>
      <c r="G18" s="3" t="s">
        <v>30</v>
      </c>
      <c r="H18" s="6">
        <v>4500</v>
      </c>
      <c r="I18" s="5">
        <v>45481</v>
      </c>
      <c r="J18" s="5">
        <v>36513</v>
      </c>
      <c r="K18" s="3">
        <v>24</v>
      </c>
    </row>
    <row r="19" spans="1:11" x14ac:dyDescent="0.3">
      <c r="A19" s="3">
        <v>16</v>
      </c>
      <c r="B19" s="3" t="s">
        <v>73</v>
      </c>
      <c r="C19" s="3" t="s">
        <v>57</v>
      </c>
      <c r="D19" s="3" t="s">
        <v>64</v>
      </c>
      <c r="E19" s="7" t="s">
        <v>35</v>
      </c>
      <c r="F19" s="3" t="s">
        <v>24</v>
      </c>
      <c r="G19" s="3" t="s">
        <v>36</v>
      </c>
      <c r="H19" s="6">
        <v>6275</v>
      </c>
      <c r="I19" s="5">
        <v>45336</v>
      </c>
      <c r="J19" s="5">
        <v>35702</v>
      </c>
      <c r="K19" s="3">
        <v>26</v>
      </c>
    </row>
    <row r="20" spans="1:11" x14ac:dyDescent="0.3">
      <c r="A20" s="3">
        <v>17</v>
      </c>
      <c r="B20" s="3" t="s">
        <v>75</v>
      </c>
      <c r="C20" s="3" t="s">
        <v>76</v>
      </c>
      <c r="D20" s="12" t="s">
        <v>54</v>
      </c>
      <c r="E20" s="11" t="s">
        <v>15</v>
      </c>
      <c r="F20" s="3" t="s">
        <v>16</v>
      </c>
      <c r="G20" s="3" t="s">
        <v>77</v>
      </c>
      <c r="H20" s="6">
        <v>6250</v>
      </c>
      <c r="I20" s="5">
        <v>45339</v>
      </c>
      <c r="J20" s="5">
        <v>37434</v>
      </c>
      <c r="K20" s="3">
        <v>22</v>
      </c>
    </row>
    <row r="21" spans="1:11" x14ac:dyDescent="0.3">
      <c r="A21" s="3">
        <v>18</v>
      </c>
      <c r="B21" s="3" t="s">
        <v>79</v>
      </c>
      <c r="C21" s="3" t="s">
        <v>80</v>
      </c>
      <c r="D21" s="8" t="s">
        <v>54</v>
      </c>
      <c r="E21" s="9" t="s">
        <v>15</v>
      </c>
      <c r="F21" s="3" t="s">
        <v>24</v>
      </c>
      <c r="G21" s="3" t="s">
        <v>36</v>
      </c>
      <c r="H21" s="6">
        <v>8750</v>
      </c>
      <c r="I21" s="5">
        <v>45395</v>
      </c>
      <c r="J21" s="5">
        <v>36554</v>
      </c>
      <c r="K21" s="3">
        <v>24</v>
      </c>
    </row>
    <row r="22" spans="1:11" x14ac:dyDescent="0.3">
      <c r="A22" s="3">
        <v>19</v>
      </c>
      <c r="B22" s="3" t="s">
        <v>82</v>
      </c>
      <c r="C22" s="3" t="s">
        <v>83</v>
      </c>
      <c r="D22" s="10" t="s">
        <v>84</v>
      </c>
      <c r="E22" s="13" t="s">
        <v>15</v>
      </c>
      <c r="F22" s="3" t="s">
        <v>16</v>
      </c>
      <c r="G22" s="3" t="s">
        <v>77</v>
      </c>
      <c r="H22" s="6">
        <v>11250</v>
      </c>
      <c r="I22" s="5">
        <v>45544</v>
      </c>
      <c r="J22" s="5">
        <v>35763</v>
      </c>
      <c r="K22" s="3">
        <v>26</v>
      </c>
    </row>
    <row r="23" spans="1:11" x14ac:dyDescent="0.3">
      <c r="A23" s="3">
        <v>20</v>
      </c>
      <c r="B23" s="3" t="s">
        <v>86</v>
      </c>
      <c r="C23" s="3" t="s">
        <v>87</v>
      </c>
      <c r="D23" s="3" t="s">
        <v>29</v>
      </c>
      <c r="E23" s="7" t="s">
        <v>23</v>
      </c>
      <c r="F23" s="3" t="s">
        <v>16</v>
      </c>
      <c r="G23" s="3" t="s">
        <v>17</v>
      </c>
      <c r="H23" s="6">
        <v>10000</v>
      </c>
      <c r="I23" s="5">
        <v>45344</v>
      </c>
      <c r="J23" s="5">
        <v>33011</v>
      </c>
      <c r="K23" s="3">
        <v>34</v>
      </c>
    </row>
  </sheetData>
  <conditionalFormatting sqref="H4:H23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3">
    <dataValidation type="custom" operator="greaterThanOrEqual" allowBlank="1" showInputMessage="1" showErrorMessage="1" sqref="H4:I23" xr:uid="{C99D57ED-DC2A-452D-85EC-A6FC49495D62}">
      <formula1>ISNUMBER(H4)</formula1>
    </dataValidation>
    <dataValidation type="custom" allowBlank="1" showInputMessage="1" showErrorMessage="1" sqref="B3:B23" xr:uid="{31216A91-300E-4C52-8B81-A8AE2252345C}">
      <formula1>ISTEXT(B3)</formula1>
    </dataValidation>
    <dataValidation type="custom" operator="greaterThanOrEqual" allowBlank="1" showInputMessage="1" showErrorMessage="1" sqref="H3:I3" xr:uid="{FC4437BC-8480-4C70-8477-93472728D7AD}">
      <formula1>ISNUMBER(H4)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21A0-1C37-4334-8143-19C15452857B}">
  <dimension ref="A1"/>
  <sheetViews>
    <sheetView topLeftCell="J1" zoomScale="120" zoomScaleNormal="120" workbookViewId="0">
      <selection activeCell="L17" sqref="L17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1.33203125" bestFit="1" customWidth="1"/>
    <col min="4" max="4" width="10" bestFit="1" customWidth="1"/>
    <col min="5" max="5" width="6.6640625" bestFit="1" customWidth="1"/>
    <col min="6" max="6" width="7.109375" bestFit="1" customWidth="1"/>
    <col min="7" max="7" width="11.33203125" bestFit="1" customWidth="1"/>
    <col min="8" max="8" width="9.88671875" bestFit="1" customWidth="1"/>
    <col min="9" max="10" width="10.33203125" bestFit="1" customWidth="1"/>
    <col min="11" max="11" width="4.33203125" bestFit="1" customWidth="1"/>
    <col min="12" max="12" width="13.88671875" customWidth="1"/>
    <col min="13" max="13" width="12.5546875" bestFit="1" customWidth="1"/>
    <col min="14" max="14" width="14.44140625" customWidth="1"/>
    <col min="15" max="15" width="14.88671875" bestFit="1" customWidth="1"/>
    <col min="16" max="16" width="10.5546875" bestFit="1" customWidth="1"/>
    <col min="17" max="17" width="14.88671875" bestFit="1" customWidth="1"/>
    <col min="18" max="18" width="10.5546875" bestFit="1" customWidth="1"/>
    <col min="19" max="20" width="11.33203125" bestFit="1" customWidth="1"/>
    <col min="21" max="25" width="10.33203125" bestFit="1" customWidth="1"/>
    <col min="31" max="31" width="11.332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Logical</vt:lpstr>
      <vt:lpstr>Data Validation</vt:lpstr>
      <vt:lpstr>Sort &amp; Filter</vt:lpstr>
      <vt:lpstr>Horizontal Sorting</vt:lpstr>
      <vt:lpstr>Sort &amp; Filter BY Color</vt:lpstr>
      <vt:lpstr>Unique Record Only</vt:lpstr>
      <vt:lpstr>'Unique Record Only'!Extract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</dc:creator>
  <cp:lastModifiedBy>Dharmendra</cp:lastModifiedBy>
  <dcterms:created xsi:type="dcterms:W3CDTF">2025-01-15T14:33:25Z</dcterms:created>
  <dcterms:modified xsi:type="dcterms:W3CDTF">2025-02-25T15:53:07Z</dcterms:modified>
</cp:coreProperties>
</file>